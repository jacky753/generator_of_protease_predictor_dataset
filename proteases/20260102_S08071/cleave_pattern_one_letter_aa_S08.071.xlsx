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azakilab\Documents\workstation_ysasaki\program\protease_predictor_git\proteases\"/>
    </mc:Choice>
  </mc:AlternateContent>
  <xr:revisionPtr revIDLastSave="0" documentId="8_{5F847A61-E63B-4B75-948D-985ACEC0F2C6}" xr6:coauthVersionLast="47" xr6:coauthVersionMax="47" xr10:uidLastSave="{00000000-0000-0000-0000-000000000000}"/>
  <bookViews>
    <workbookView xWindow="-110" yWindow="-110" windowWidth="19420" windowHeight="11020" xr2:uid="{4B8F2CF2-931D-4521-89B0-95A768902DC7}"/>
  </bookViews>
  <sheets>
    <sheet name="cleave_pattern_one_letter_aa_S0" sheetId="1" r:id="rId1"/>
  </sheets>
  <calcPr calcId="0"/>
</workbook>
</file>

<file path=xl/calcChain.xml><?xml version="1.0" encoding="utf-8"?>
<calcChain xmlns="http://schemas.openxmlformats.org/spreadsheetml/2006/main">
  <c r="H3" i="1" l="1"/>
  <c r="H15" i="1"/>
  <c r="H25" i="1"/>
  <c r="H39" i="1"/>
  <c r="H40" i="1"/>
  <c r="H41" i="1"/>
  <c r="H45" i="1"/>
  <c r="H51" i="1"/>
  <c r="H65" i="1"/>
  <c r="H66" i="1"/>
  <c r="H73" i="1"/>
  <c r="H83" i="1"/>
  <c r="H87" i="1"/>
  <c r="H97" i="1"/>
  <c r="H107" i="1"/>
  <c r="H108" i="1"/>
  <c r="H111" i="1"/>
  <c r="H118" i="1"/>
  <c r="H128" i="1"/>
  <c r="H137" i="1"/>
  <c r="H138" i="1"/>
  <c r="H141" i="1"/>
  <c r="H156" i="1"/>
  <c r="H161" i="1"/>
  <c r="H174" i="1"/>
  <c r="H175" i="1"/>
  <c r="H181" i="1"/>
</calcChain>
</file>

<file path=xl/sharedStrings.xml><?xml version="1.0" encoding="utf-8"?>
<sst xmlns="http://schemas.openxmlformats.org/spreadsheetml/2006/main" count="733" uniqueCount="461">
  <si>
    <t>protease_turn</t>
  </si>
  <si>
    <t>merops_id</t>
  </si>
  <si>
    <t>substrate_turn</t>
  </si>
  <si>
    <t>uniprot_id</t>
  </si>
  <si>
    <t>p1</t>
  </si>
  <si>
    <t>len_full_aa</t>
  </si>
  <si>
    <t>cleave_pattern</t>
  </si>
  <si>
    <t>full_aa</t>
  </si>
  <si>
    <t>S08.071</t>
  </si>
  <si>
    <t>B2RXX5</t>
  </si>
  <si>
    <t>NCDGLAGLIRTDNSDYFIEPLERGQQEKEAGGRTHVVYRREAVQREWKEPHGDLHNEAFGLGDLPNVLDLVGDRLGDAERKRRHAKPGSYSIEVLLAVDDSVVRFHGREHTQNYVLTLMNIVDEIYHDESLGAHVNIALVRLIMVGYRQSLSLIERGNPA</t>
  </si>
  <si>
    <t>MAWLRALLHCLLPWYCALCAAAGSQTPDLRLSGKLHDYVVTVPCSTDFQGRFLSHVVSAPAAPSPRSHLRVARSPLSLERETPRPGGPRQHFLYFNVTVFGKLLHLRLQPNRRLVAPGAPVEWQEDFRELFRQPLQQECVYTGGVTGMPGAAVAISNCDGLAGLIRTDNSDYFIEPLERGQQEKEAGGRTHVVYRREAVQREWKEPHGDLHNEAFGLGDLPNVLDLVGDRLGDAERKRRHAKPGSYSIEVLLAVDDSVVRFHGREHTQNYVLTLMNIVDEIYHDESLGAHVNIALVRLIMVGYRQSLSLIERGNPARSLEQVCRWAHSQQRQDPSHTEHHDHVIFLTRQNFGPSGYAPVTGMCHPLRSCALNHEDGFSSAFVVAHETGHVLGMEHDGQGNGCDDETSLGSVMAPLVQAAFHRFHWSRCSKLELSRYLPSYDCLLDDPFERTWPQPPELPGIDYSMDEQCRFDFGTGYHTCLAFRTFEPCKQLWCSHPDNPYFCKTKKGPPLDGTECAPGKWCFKGHCIWKSPEQTYGQDGGWSSWTNFGSCSRSCGGGVRSRSRSCDNPPPAYGGRPCSGSMFEYQICNSEDCPGPYEDFRAQQCAKRNSYYTHQDAKHSWLPYEPDSDAQKCELICQSADTGDVVFMNQVVHDGTRCSYRDPYSVCARGECVPFGCDKEVGSMKTDDKCGVCGGDNSHCRTVKGTLGKGSKQAAALKQVQIPAGARHIQIELLEKAPHRIAVKNQVTGSFIFNPKGKEASSRTFTALGLEWEHEAEDTKDSLRTNGPLPEAIAILVLPPAEGKPRGSLAYKYVIHEDLLPLIGSNNVLLEETDTYEWALKSWSPCSKACGGGIQFTKYGCRRRRDHHMVHRHLCDHKKRPKPIRRRCNQHSCPQPTWVTEEWGACSRSCGKLGLQTRGVQCLLPLSNGTHKAMPAKACLGNRPEAKKPCLRVPCPAQWRTGAWSQCSATCGEGIQQRQVVCRNTSSALGPCEGVKPDMVQICSLPACGGDLQNSTVKAEVQDPVTKTGYREPQSRPLTPEDRISTMEPCVRDRSVFCRMEVLDRYCTIPGYHRLCCESCIKKTSGPNASLALPPTFSTPGSLLPAPKATLEDVKSTRGPTSLEDHRQSQPTQLPDVADRISPVTQYPVTPQMLSPKAFPGNSPATPRRPPQDWTQTAMPTSEGQGQSREEPGHGGTSLPATSPVT</t>
  </si>
  <si>
    <t>O00292</t>
  </si>
  <si>
    <t>MWPLWLCWALWVLPLAGPGAALTEEQLLGSLLRQLQLSEVPVLDRADMEKLVIPAHVRAQYVVLLRRSHGDRSRGKRFSQSFREVAGRFLASEASTHLLVFGMEQRLPPNSELVQAVLRLFQEPVPKAALHRHGRLSPRSAQARVTVEWLRVRDDGSNRTSLIDSRLVSVHESGWKAFDVTEAVNFWQQLSRPRQPLLLQVSVQREHLGPLASGAHKLVRFASQGAPAGLGEPQLELHTLDLRDYGAQGDCDPEAPMTEGTRCCRQEMYIDLQGMKWAKNWVLEPPGFLAYECVGTCQQPPEALAFNWPFLGPRQCIASETASLPMIVSIKEGGRTRPQVVSLPNMRVQKCSCASDGALVPRRLQP</t>
  </si>
  <si>
    <t>O08665</t>
  </si>
  <si>
    <t>LLEEMTVFREPTTISAMELSTKQQQLYIGSTAGVAQLPLHRCDIYGKACAECCLARDPYCAWDGSSCSRYFPTAKRRTRRQDIRNGDPLTHCSDLQHHDNHHGPSLEERIIYGVENSSTFLECSPKSQRALVYWQFQRRNEDRKEEIRMGDHIIRTEQGL</t>
  </si>
  <si>
    <t>MGWFTGIACLFWGVLLTARANYANGKNNVPRLKLSYKEMLESNNVITFNGLANSSSYHTFLLDEERSRLYVGAKDHIFSFNLVNIKDFQKIVWPVSYTRRDECKWAGKDILKECANFIKVLEAYNQTHLYACGTGAFHPICTYIEVGHHPEDNIFKLQDSHFENGRGKSPYDPKLLTASLLIDGELYSGTAADFMGRDFAIFRTLGHHHPIRTEQHDSRWLNDPRFISAHLIPESDNPEDDKVYFFFRENAIDGEHSGKATHARIGQICKNDFGGHRSLVNKWTTFLKARLICSVPGPNGIDTHFDELQDVFLMNSKDPKNPIVYGVFTTSSNIFKGSAVCMYSMSDVRRVFLGPYAHRDGPNYQWVPYQGRVPYPRPGTCPSKTFGGFDSTKDLPDDVITFARSHPAMYNPVFPINNRPIMIKTDVNYQFTQIVVDRVDAEDGQYDVMFIGTDVGTVLKVVSVPKETWHDLEEILLEEMTVFREPTTISAMELSTKQQQLYIGSTAGVAQLPLHRCDIYGKACAECCLARDPYCAWDGSSCSRYFPTAKRRTRRQDIRNGDPLTHCSDLQHHDNHHGPSLEERIIYGVENSSTFLECSPKSQRALVYWQFQRRNEDRKEEIRMGDHIIRTEQGLLLRSLQKKDSGNYLCHAVEHGFMQTLLKVTLEVIDTEHLEELLHKDDDGDGSKIKEMSSSMTPSQKVWYRDFMQLINHPNLNTMDEFCEQVWKRDRKQRRQRPGHSQGSSNKWKHMQESKKGRNRRTHEFERAPRSV</t>
  </si>
  <si>
    <t>O14672</t>
  </si>
  <si>
    <t>TFYVEPAERYIKDRTLPFHSVIYHEDDINYPHKYGPQGGCADHSVFERMRKYQMTGVEEVTQIPQEEHAANGPELLRKKRTTSAEKNTCQLYIQTDHLFFKYYGTREAVIAQISSHVKAIDTIYQTTDFSGIRNISFMVKRIRINTTADEKDPTNPFRFP</t>
  </si>
  <si>
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</si>
  <si>
    <t>O15072</t>
  </si>
  <si>
    <t>GMIKSDNEEYFIEPLERGKQMEEEKGRIHVVYKRSAVEQAPIDMSKDFHYRESDLEGLDDLGTVYGNIHQQLNETMRRRRHAGENDYNIEVLLGVDDSVVRFHGKEHVQNYLLTLMNIVNEIYHDESLGVHINVVLVRMIMLGYAKSISLIERGNPSRSL</t>
  </si>
  <si>
    <t>MVLLSLWLIAAALVEVRTSADGQAGNEEMVQIDLPIKRYREYELVTPVSTNLEGRYLSHTLSASHKKRSARDVSSNPEQLFFNITAFGKDFHLRLKPNTQLVAPGAVVEWHETSLVPGNITDPINNHQPGSATYRIRRTEPLQTNCAYVGDIVDIPGTSVAISNCDGLAGMIKSDNEEYFIEPLERGKQMEEEKGRIHVVYKRSAVEQAPIDMSKDFHYRESDLEGLDDLGTVYGNIHQQLNETMRRRRHAGENDYNIEVLLGVDDSVVRFHGKEHVQNYLLTLMNIVNEIYHDESLGVHINVVLVRMIMLGYAKSISLIERGNPSRSLENVCRWASQQQRSDLNHSEHHDHAIFLTRQDFGPAGMQGYAPVTGMCHPVRSCTLNHEDGFSSAFVVAHETGHVLGMEHDGQGNRCGDETAMGSVMAPLVQAAFHRYHWSRCSGQELKRYIHSYDCLLDDPFDHDWPKLPELPGINYSMDEQCRFDFGVGYKMCTAFRTFDPCKQLWCSHPDNPYFCKTKKGPPLDGTECAAGKWCYKGHCMWKNANQQKQDGNWGSWTKFGSCSRTCGTGVRFRTRQCNNPMPINGGQDCPGVNFEYQLCNTEECQKHFEDFRAQQCQQRNSHFEYQNTKHHWLPYEHPDPKKRCHLYCQSKETGDVAYMKQLVHDGTHCSYKDPYSICVRGECVKVGCDKEIGSNKVEDKCGVCGGDNSHCRTVKGTFTRTPRKLGYLKMFDIPPGARHVLIQEDEASPHILAIKNQATGHYILNGKGEEAKSRTFIDLGVEWDYNIEDDIESLHTDGPLHDPVIVLIIPQENDTRSSLTYKYIIHEDSVPTINSNNVIQEELDTFEWALKSWSQCSKPCGGGFQYTKYGCRRKSDNKMVHRSFCEANKKPKPIRRMCNIQECTHPLWVAEEWEHCTKTCGSSGYQLRTVRCLQPLLDGTNRSVHSKYCMGDRPESRRPCNRVPCPAQWKTGPWSECSVTCGEGTEVRQVLCRAGDHCDGEKPESVRACQLPPCNDEPCLGDKSIFCQMEVLARYCSIPGYNKLCCESCSKRSSTLPPPYLLEAAETHDDVISNPSDLPRSLVMPTSLVPYHSETPAKKMSLSSISSVGGPNAYAAFRPNSKPDGANLRQRSAQQAGSKTVRLVTVPSSPPTKRVHLSSASQMAAASFFAASDSIGASSQARTSKKDGKIIDNRRPTRSSTLER</t>
  </si>
  <si>
    <t>O43184</t>
  </si>
  <si>
    <t>YSDSAVSLSTCSGLRGLIVFENESYVLEPMKSATNRYKLFPAKKLKSVRGSCGSHHNTPNLAAKNVFPPPSQTWARRHKRETLKATKYVELVIVADNREFQRQGKDLEKVKQRLIEIANHVDKFYRPLNIRIVLVGVEVWNDMDKCSVSQDPFTSLHEFL</t>
  </si>
  <si>
    <t>MAARPLPVSPARALLLALAGALLAPCEARGVSLWNQGRADEVVSASVGSGDLWIPVKSFDSKNHPEVLNIRLQRESKELIINLERNEGLIASSFTETHYLQDGTDVSLARNYTVILGHCYYHGHVRGYSDSAVSLSTCSGLRGLIVFENESYVLEPMKSATNRYKLFPAKKLKSVRGSCGSHHNTPNLAAKNVFPPPSQTWARRHKRETLKATKYVELVIVADNREFQRQGKDLEKVKQRLIEIANHVDKFYRPLNIRIVLVGVEVWNDMDKCSVSQDPFTSLHEFLDWRKMKLLPRKSHDNAQLVSGVYFQGTTIGMAPIMSMCTADQSGGIVMDHSDNPLGAAVTLAHELGHNFGMNHDTLDRGCSCQMAVEKGGCIMNASTGYPFPMVFSSCSRKDLETSLEKGMGVCLFNLPEVRESFGGQKCGNRFVEEGEECDCGEPEECMNRCCNATTCTLKPDAVCAHGLCCEDCQLKPAGTACRDSSNSCDLPEFCTGASPHCPANVYLHDGHSCQDVDGYCYNGICQTHEQQCVTLWGPGAKPAPGICFERVNSAGDPYGNCGKVSKSSFAKCEMRDAKCGKIQCQGGASRPVIGTNAVSIETNIPLQQGGRILCRGTHVYLGDDMPDPGLVLAGTKCADGKICLNRQCQNISVFGVHECAMQCHGRGVCNNRKNCHCEAHWAPPFCDKFGFGGSTDSGPIRQADNQGLTIGILVTILCLLAAGFVVYLKRKTLIRLLFTNKKTTIEKLRCVRPSRPPRGFQPCQAHLGHLGKGLMRKPPDSYPPKDNPRRLLQCQNVDISRPLNGLNVPQPQSTQRVLPPLHRAPRAPSVPARPLPAKPALRQAQGTCKPNPPQKPLPADPLARTTRLTHALARTPGQWETGLRLAPLRPAPQYPHQVPRSTHTAYIK</t>
  </si>
  <si>
    <t>O43508</t>
  </si>
  <si>
    <t>RAIAAHYEVHPRPGQDGAQAGVDGTVSGWEEARINSSSPLRYNRQIGEFIVTRAGLYYLYCQVHFDEGKAVYLKLDLLVDGVLALRCLEEFSATAASSLGPQLRLCQVSGLLALRPGSSLRIRTLPWAHLKAAPFLTYFGLFQVH---------------</t>
  </si>
  <si>
    <t>MAARRSQRRRGRRGEPGTALLVPLALGLGLALACLGLLLAVVSLGSRASLSAQEPAQEELVAEEDQDPSELNPQTEESQDPAPFLNRLVRPRRSAPKGRKTRARRAIAAHYEVHPRPGQDGAQAGVDGTVSGWEEARINSSSPLRYNRQIGEFIVTRAGLYYLYCQVHFDEGKAVYLKLDLLVDGVLALRCLEEFSATAASSLGPQLRLCQVSGLLALRPGSSLRIRTLPWAHLKAAPFLTYFGLFQVH</t>
  </si>
  <si>
    <t>O43915</t>
  </si>
  <si>
    <t>NVFMMLYVQLVQGSSNEHGPVKRSSQSTLERSEQQIRAASSLEELLRITHSEDWKLWRCRLRLKSFTSMDSRSASHRSTRFAATFYDIETLKVIDEEWQRTQCSPRETCVEVASELGKSTNTFFKPPCVNVFRCGGCCNEESLICMNTSTSYISKQLFEI</t>
  </si>
  <si>
    <t>MYREWVVVNVFMMLYVQLVQGSSNEHGPVKRSSQSTLERSEQQIRAASSLEELLRITHSEDWKLWRCRLRLKSFTSMDSRSASHRSTRFAATFYDIETLKVIDEEWQRTQCSPRETCVEVASELGKSTNTFFKPPCVNVFRCGGCCNEESLICMNTSTSYISKQLFEISVPLTSVPELVPVKVANHTGCKCLPTAPRHPYSIIRRSIQIPEEDRCSHSKKLCPIDMLWDSNKCKCVLQEENPLAGTEDHSHLQEPALCGPHMMFDEDRCECVCKTPCPKDLIQHPKNCSCFECKESLETCCQKHKLFHPDTCSCEDRCPFHTRPCASGKTACAKHCRFPKEKRAAQGPHSRKNP</t>
  </si>
  <si>
    <t>QGSSNEHGPVKRSSQSTLERSEQQIRAASSLEELLRITHSEDWKLWRCRLRLKSFTSMDSRSASHRSTRFAATFYDIETLKVIDEEWQRTQCSPRETCVEVASELGKSTNTFFKPPCVNVFRCGGCCNEESLICMNTSTSYISKQLFEISVPLTSVPELV</t>
  </si>
  <si>
    <t>KSTNTFFKPPCVNVFRCGGCCNEESLICMNTSTSYISKQLFEISVPLTSVPELVPVKVANHTGCKCLPTAPRHPYSIIRRSIQIPEEDRCSHSKKLCPIDMLWDSNKCKCVLQEENPLAGTEDHSHLQEPALCGPHMMFDEDRCECVCKTPCPKDLIQHP</t>
  </si>
  <si>
    <t>O54732</t>
  </si>
  <si>
    <t>AAENWLRLYGYLPQPSRHMSTMRSAQILASALAEMQSFYGIPVTGVLDEETKTWMKRPRCGVPDQFGVHVKANLRRRRKRYTLTGKAWNNYHLTFSIQNYTEKLGWYNSMEAVRRAFQVWEQVTPLVFQEVSYDDIRLRRRAEADIMVLFASGFHGDSSP</t>
  </si>
  <si>
    <t>MGSDRSALGRPGCTGSCLSSRASLLPLLLVLLDCLGHGTASKDAEVYAAENWLRLYGYLPQPSRHMSTMRSAQILASALAEMQSFYGIPVTGVLDEETKTWMKRPRCGVPDQFGVHVKANLRRRRKRYTLTGKAWNNYHLTFSIQNYTEKLGWYNSMEAVRRAFQVWEQVTPLVFQEVSYDDIRLRRRAEADIMVLFASGFHGDSSPFDGVGGFLAHAYFPGPGLGGDTHFDADEPWTFSSTDLHGISLFLVAVHELGHALGLEHSSNPSAIMAPFYQWMDTDNFQLPEDDLRGIQQLYGSPDGKPQPTRPLPTVRPRRPGRPDHQPPRPPQPPHPGGKPERPPKPGPPPQPRATERPDQYGPNICDGNFDTVAVLRGEMFVFKGRWFWRVRHNRVLDNYPMPIGHFWRGLPGNISAAYERQDGHFVFFKGNRYWLFREANLEPGYPQPLSSYGTDIPYDRIDTAIWWEPTGHTFFFQADRYWRFNEETQHGDPGYPKPISVWQGIPTSPKGAFLSNDAAYTYFYKGTKYWKFNNERLRMEPGHPKSILRDFMGCQEHVEPRSRWPDVARPPFNPNGGAEPEADGDSKEENAGDKDEGSRVVVQMEEVVRTVNVVMVLVPLLLLLCILGLAFALVQMQRKGAPRMLLYCKRSLQEWV</t>
  </si>
  <si>
    <t>O56140</t>
  </si>
  <si>
    <t>EYAYKIVKKGDSTIMKSELEYGNCNTKCQTPMGAINSSMPFHNIHPLTIGECPKYVKSNRLVLATGLRNTPQRERRRKKRGLFGAIAGFIEGGWQGMVDGWYGYHHSNEQGSGYAADKESTQKAIDGVTNKVNSIINKMNTQFEAVGREFNNLERRIENL</t>
  </si>
  <si>
    <t>MEKTVLLLATVSLVKSDQICIGYHANNSTEQVDTIMEKNVTVTHAQDILERTHNGKLCDLNGVKPLILRDCSVAGWLLGNPMCDEFINVPEWSYIVEKASPANDLCYPGNFNDYEELKHLLSRINHFEKIQIIPKSSWSNHDASSGVSSACPYLGRSSFFRNVVWLIKKNSAYPTIKRSYNNTNQEDLLVLWGIHHPNDAAEQTKLYQNPTTYISVGTSTLNQRLVPEIATRPKVNGQSGRMEFFWTILKPNDAINFESNGNFIAPEYAYKIVKKGDSTIMKSELEYGNCNTKCQTPMGAINSSMPFHNIHPLTIGECPKYVKSNRLVLATGLRNTPQRERRRKKRGLFGAIAGFIEGGWQGMVDGWYGYHHSNEQGSGYAADKESTQKAIDGVTNKVNSIINKMNTQFEAVGREFNNLERRIENLNKKMEDGFLDVWTYNAELLVLMENERTLDFHDSNVKNLYDKVRLQLRDNAKELGNGCFEFYHKCDNECMESVKNGTYDYPQYSEEARLNREEISGVKLESMGTYQILSIYSTVASSLALAIMVAGLSLWMCSNGSLQCRICI</t>
  </si>
  <si>
    <t>O56861</t>
  </si>
  <si>
    <t>LKMRMRYRCYTLCATSTRIMFWILFFLLCFSIVTLSTIISILRYQWKEAITHPGPVLSWQVTNSHVTMGGNTSSSSRRRRDIQYHKLPVEVNISGIPQGLFFAPQPKPIFHKERTLGLSQVILIDSDTITQGHIKQQKAYLVSTINEEMEQLQKTVLPFD</t>
  </si>
  <si>
    <t>MEQEHVMTLKEWMEWNAHKQLQKLQSTHPELHVDIPEDIPLVPEKVPLKMRMRYRCYTLCATSTRIMFWILFFLLCFSIVTLSTIISILRYQWKEAITHPGPVLSWQVTNSHVTMGGNTSSSSRRRRDIQYHKLPVEVNISGIPQGLFFAPQPKPIFHKERTLGLSQVILIDSDTITQGHIKQQKAYLVSTINEEMEQLQKTVLPFDLPIKDPLTQKEYIEKRCFQKYGHCYVIAFNGNKVWPSQDLIQDQCPLPPRFGNNLKYRNHTIWKYYIPLPFKVSSNWTRVESYGNIRIGSFKVPDEFRQNATHGIFCSDALYSNWYPRDLPSSVQQSFAQAYITKVLMKRKKQPTLRDIAFPKELSPVGSGMLFRPINPYDICNMPRAVLLLNKTYYTFSLWEGDCGYYQHNLTLHPACKNFNRTRQDHPYACRFWRNKYDSESVQCYNNDMCYYRPLYDGTENTEDWGWLAYTDSFPSPICIEEKRIWKKNYTLSSVLAECVNQAMEYGIDEVLSKLDLIFGNLTHQSADEAFIPVNNFTWPRYEKQNKQQKTSCERKKGRRQRRSVSTENLRRIQEAGLGLANAITTVAKISDLNDQKLAKGVHLLRDHVVTLMEANLDDIVSLGEGIQIEHIHNHLTSLKLLTLENRIDWRFINDSWIQEELGVSDNIMKVIRKTARCIPYNVKQTRNLNTSTAWEIYLYYEIIIPTTIYTQNWNIKNLGHLVRNAGYLSKVWIQQPFEVLNQECGTNIYLHMEECVDQDYIICEEVMELPPCGNGTGSDCPVLTKPLTDEYLEIEPLKNGSYLVLSSTTDCGIPAYVPVVITVNDTISCFDKEFKRPLKQELKVTKYAPSVPQLELRVPRLTSLIAKIKGIQIEITSSWETIKEQVARAKAELLRLDLHEGDYPEWLQLLGEATKDVWPTISNFVSGIGNFIKDTAGGIFGTAFSFLGYVKPVLLGFVIIFCIILIIKIIGWLQNTRKKDQ</t>
  </si>
  <si>
    <t>O60494</t>
  </si>
  <si>
    <t>MMNMSLPFLWSLLTLLIFAEVNGEAGELELQRQKRSINLQQPRMATERGNLVFLTGSAQNIEFRTGSLGKIKLNDEDLSECLHQIQKNKEDIIELKGSAIGLPQNISSQIYQLNSKLVDLERKFQGLQQTVDKKVCSSNPCQNGGTCLNLHDSFFCICPPQWKGPLCSADVNECEIYSGTPLSCQNGGTCVNTMGSYSCHCPPETYGPQCASKYDDCEGGSVARCVHGICEDLMREQAGEPKYSCVCDAGWMFSPNSPACTLDRDECSFQPGPCSTLVQCFNTQGSFYCGACPTGWQGNGYICEDINECEINNGGCSVAPPVECVNTPGSSHCQACPPGYQGDGRVCTLTDICSVSNGGCHPDASCSSTLGSLPLCTCLPGYTGNGYGPNGCVQLSNICLSHPCLNGQCIDTVSGYFCKCDSGWTGVNCTENINECLSNPCLNGGTCVDGVDSFSCECTRLWTGALCQVPQQVCGESLSGINGSFSYRSPDVGYVHDVNCFWVIKTEMGKVLRITFTFFRLESMDNCPHEFLQVYDGDSSSAFQLGRFCGSSLPHELLSSDNALYFHLYSEHLRNGRGFTVRWETQQPECGGILTGPYGSIKSPGYPGNYPPGRDCVWIVVTSPDLLVTFTFGTLSLEHHDDCNKDYLEIRDGPLYQDPLLGKFCTTFSVPPLQTTGPFARIHFHSDSQISDQGFHITYLTSPSDLRCGGNYTDPEGELFLPELSGPFTHTRQCVYMMKQPQGEQIQINFTHVELQCQSDSSQNYIEVRDGETLLGKVCGNGTISHIKSITNSVWIRFKIDASVEKASFRAVYQVACGDELTGEGVIRSPFFPNVYPGERTCRWTIHQPQSQVILLNFTVFEIGSSAHCETDYVEIGSSSILGSPENKKYCGTDIPSFITSVYNFLYVTFVKSSSTENHGFMAKFSAEDLACGEILTESTGTIQSPGHPNVYPHGINCTWHILVQPNHLIHLMFETFHLEFHYNCTNDYLEVYDTDSETSLGRYCGKSIPPSLTSSGNSLMLVFVTDSDLAYEGFLINYEAISAATACLQDYTDDLGTFTSPNFPNNYPNNWECIYRITVRTGQLIAVHFTNFSLEEAIGNYYTDFLEIRDGGYEKSPLLGIFYGSNLPPTIISHSNKLWLKFKSDQIDTRSGFSAYWDGSSTGCGGNLTTSSGTFISPNYPMPYYHSSECYWWLKSSHGSAFELEFKDFHLEHHPNCTLDYLAVYDGPSSNSHLLTQLCGDEKPPLIRSSGDSMFIKLRTDEGQQGRGFKAEYRQTCENVVIVNQTYGILESIGYPNPYSENQHCNWTIRATTGNTVNYTFLAFDLEHHINCSTDYLELYDGPRQMGRYCGVDLPPPGSTTSSKLQVLLLTDGVGRREKGFQMQWFVYGCGGELSGATGSFSSPGFPNRYPPNKECIWYIRTDPGSSIQLTIHDFDVEYHSRCNFDVLEIYGGPDFHSPRIAQLCTQRSPENPMQVSSTGNELAIRFKTDLSINGRGFNASWQAVTGGCGGIFQAPSGEIHSPNYPSPYRSNTDCSWVIRVDRNHRVLLNFTDFDLEPQDSCIMAYDGLSSTMSRLARTCGREQLANPIVSSGNSLFLRFQSGPSRQNRGFRAQFRQACGGHILTSSFDTVSSPRFPANYPNNQNCSWIIQAQPPLNHITLSFTHFELERSTTCARDFVEILDGGHEDAPLRGRYCGTDMPHPITSFSSALTLRFVSDSSISAGGFHTTVTASVSACGGTFYMAEGIFNSPGYPDIYPPNVECVWNIVSSPGNRLQLSFISFQLEDSQDCSRDFVEIREGNATGHLVGRYCGNSFPLNYSSIVGHTLWVRFISDGSGSGTGFQATFMKIFGNDNIVGTHGKVASPFWPENYPHNSNYQWTVNVNASHVVHGRILEMDIEEIQNCYYDKLRIYDGPSIHARLIGAYCGTQTESFSSTGNSLTFHFYSDSSISGKGFLLEWFAVDAPDGVLPTIAPGACGGFLRTGDAPVFLFSPGWPDSYSNRVDCTWLIQAPDSTVELNILSLDIESHRTCAYDSLVIRDGDNNLAQQLAVLCGREIPGPIRSTGEYMFIRFTSDSSVTRAGFNASFHKSCGGYLHADRGIITSPKYPETYPSNLNCSWHVLVQSGLTIAVHFEQPFQIPNGDSSCNQGDYLVLRNGPDICSPPLGPPGGNGHFCGSHASSTLFTSDNQMFVQFISDHSNEGQGFKIKYEAKSLACGGNVYIHDADSAGYVTSPNHPHNYPPHADCIWILAAPPETRIQLQFEDRFDIEVTPNCTSNYLELRDGVDSDAPILSKFCGTSLPSSQWSSGEVMYLRFRSDNSPTHVGFKAKYSIAQCGGRVPGQSGVVESIGHPTLPYRDNLFCEWHLQGLSGHYLTISFEDFNLQNSSGCEKDFVEIWDNHTSGNILGRYCGNTIPDSIDTSSNTAVVRFVTDGSVTASGFRLRFESSMEECGGDLQGSIGTFTSPNYPNPNPHGRICEWRITAPEGRRITLMFNNLRLATHPSCNNEHVIVFNGIRSNSPQLEKLCSSVNVSNEIKSSGNTMKVIFFTDGSRPYGGFTASYTSSEDAVCGGSLPNTPEGNFTSPGYDGVRNYSRNLNCEWTLSNPNQGNSSISIHFEDFYLESHQDCQFDVLEFRVGDADGPLMWRLCGPSKPTLPLVIPYSQVWIHFVTNERVEHIGFHAKYSFTDCGGIQIGDSGVITSPNYPNAYDSLTHCSSLLEAPQGHTITLTFSDFDIEPHTTCAWDSVTVRNGGSPESPIIGQYCGNSNPRTIQSGSNQLVVTFNSDHSLQGGGFYATWNTQTLGCGGIFHSDNGTIRSPHWPQNFPENSRCSWTAITHKSKHLEISFDNNFLIPSGDGQCQNSFVKVWAGTEEVDKALLATGCGNVAPGPVITPSNTFTAVFQSQEAPAQGFSASFVSRCGSNFTGPSGYIISPNYPKQYDNNMNCTYVIEANPLSVVLLTFVSFHLEARSAVTGSCVNDGVHIIRGYSVMSTPFATVCGDEMPAPLTIAGPVLLNFYSNEQITDFGFKFSYRIISCGGVFNFSSGIITSPAYSYADYPNDMHCLYTITVSDDKVIELKFSDFDVVPSTSCSHDYLAIYDGANTSDPLLGKFCGSKRPPNVKSSNNSMLLVFKTDSFQTAKGWKMSFRQTLGPQQGCGGYLTGSNNTFASPDSDSNGMYDKNLNCVWIIIAPVNKVIHLTFNTFALEAASTRQRCLYDYVKLYDGDSENANLAGTFCGSTVPAPFISSGNFLTVQFISDLTLEREGFNATYTIMDMPCGGTYNATWTPQNISSPNSSDPDVPFSICTWVIDSPPHQQVKITVWALQLTSQDCTQNYLQLQDSPQGHGNSRFQFCGRNASAVPVFYSSMSTAMVIFKSGVVNRNSRMSFTYQIADCNRDYHKAFGNLRSPGWPDNYDNDKDCTVTLTAPQNHTISLFFHSLGIENSVECRNDFLEVRNGSNSNSPLLGKYCGTLLPNPVFSQNNELYLRFKSDSVTSDRGYEIIWTSSPSGCGGTLYGDRGSFTSPGYPGTYPNNTYCEWVLVAPAGRLVTINFYFISIDDPGDCVQNYLTLYDGPNASSPSSGPYCGGDTSIAPFVASSNQVFIKFHADYARRPSAFRLTWDS</t>
  </si>
  <si>
    <t>O75173</t>
  </si>
  <si>
    <t>GTINGDPESVASLHWDGGALLGVLQYRGAELHLQPLEGGTPNSAGGPGAHILRRKSPASGQGPMCNVKAPLGSPSPRPRRAKRFASLSRFVETLVVADDKMAAFHGAGLKRYLLTVMAAAAKAFKHPSIRNPVSLVVTRLVILGSGEEGPQVGPSAAQTL</t>
  </si>
  <si>
    <t>MSQTGSHPGRGLAGRWLWGAQPCLLLPIVPLSWLVWLLLLLLASLLPSARLASPLPREEEIVFPEKLNGSVLPGSGAPARLLCRLQAFGETLLLELEQDSGVQVEGLTVQYLGQAPELLGGAEPGTYLTGTINGDPESVASLHWDGGALLGVLQYRGAELHLQPLEGGTPNSAGGPGAHILRRKSPASGQGPMCNVKAPLGSPSPRPRRAKRFASLSRFVETLVVADDKMAAFHGAGLKRYLLTVMAAAAKAFKHPSIRNPVSLVVTRLVILGSGEEGPQVGPSAAQTLRSFCAWQRGLNTPEDSDPDHFDTAILFTRQDLCGVSTCDTLGMADVGTVCDPARSCAIVEDDGLQSAFTAAHELGHVFNMLHDNSKPCISLNGPLSTSRHVMAPVMAHVDPEEPWSPCSARFITDFLDNGYGHCLLDKPEAPLHLPVTFPGKDYDADRQCQLTFGPDSRHCPQLPPPCAALWCSGHLNGHAMCQTKHSPWADGTPCGPAQACMGGRCLHMDQLQDFNIPQAGGWGPWGPWGDCSRTCGGGVQFSSRDCTRPVPRNGGKYCEGRRTRFRSCNTEDCPTGSALTFREEQCAAYNHRTDLFKSFPGPMDWVPRYTGVAPQDQCKLTCQAQALGYYYVLEPRVVDGTPCSPDSSSVCVQGRCIHAGCDRIIGSKKKFDKCMVCGGDGSGCSKQSGSFRKFRYGYNNVVTIPAGATHILVRQQGNPGHRSIYLALKLPDGSYALNGEYTLMPSPTDVVLPGAVSLRYSGATAASETLSGHGPLAQPLTLQVLVAGNPQDTRLRYSFFVPRPTPSTPRPTPQDWLHRRAQILEILRRRPWAGRK</t>
  </si>
  <si>
    <t>NGDPESVASLHWDGGALLGVLQYRGAELHLQPLEGGTPNSAGGPGAHILRRKSPASGQGPMCNVKAPLGSPSPRPRRAKRFASLSRFVETLVVADDKMAAFHGAGLKRYLLTVMAAAAKAFKHPSIRNPVSLVVTRLVILGSGEEGPQVGPSAAQTLRSF</t>
  </si>
  <si>
    <t>O75829</t>
  </si>
  <si>
    <t>AQVKARIPEVGAVTKQSISSKLEGKIMPVKYEENSLIWVAVDQPVKDNSFLSSKVLELCGDLPIFWLKPTYPKEIQRERREVVRKIVPTTTKRPHSGPRSNPGAGRLNNETRPSVQEDSQAFNPDNPYHQQEGESMTFDPRLDHEGICCIECRRSYTHCQ</t>
  </si>
  <si>
    <t>MTENSDKVPIALVGPDDVEFCSPPAYATLTVKPSSPARLLKVGAVVLISGAVLLLFGAIGAFYFWKGSDSHIYNVHYTMSINGKLQDGSMEIDAGNNLETFKMGSGAEEAIAVNDFQNGITGIRFAGGEKCYIKAQVKARIPEVGAVTKQSISSKLEGKIMPVKYEENSLIWVAVDQPVKDNSFLSSKVLELCGDLPIFWLKPTYPKEIQRERREVVRKIVPTTTKRPHSGPRSNPGAGRLNNETRPSVQEDSQAFNPDNPYHQQEGESMTFDPRLDHEGICCIECRRSYTHCQKICEPLGGYYPWPYNYQGCRSACRVIMPCSWWVARILGMV</t>
  </si>
  <si>
    <t>O88839</t>
  </si>
  <si>
    <t>PSSWVSLCACSGIRGLIVLSPERGYTLELGPGDLQRPVISRIQDHLLLGHTCAPSWHASVPTRAGPDLLLEQHHAHRLKRDVVTETKIVELVIVADNSEVRKYPDFQQLLNRTLEAALLLDTFFQPLNVRVALVGLEAWTQHNLIEMSSNPAVLLDNFLR</t>
  </si>
  <si>
    <t>MRLALLWALGLLGAGSPRPSPPLPNIGGTEEEQQASPERTLSGSMESRVVQDSPPMSLADVLQTGLPEALRISLELDSESHVLELLQNRDLIPGRPTLVWYQPDGTRMVSEGYSLENCCYRGRVQGHPSSWVSLCACSGIRGLIVLSPERGYTLELGPGDLQRPVISRIQDHLLLGHTCAPSWHASVPTRAGPDLLLEQHHAHRLKRDVVTETKIVELVIVADNSEVRKYPDFQQLLNRTLEAALLLDTFFQPLNVRVALVGLEAWTQHNLIEMSSNPAVLLDNFLRWRRTDLLPRLPHDSAQLVTVTSFSGPMVGMAIQNSICSPDFSGGVNMDHSTSILGVASSIAHELGHSLGLDHDSPGHSCPCPGPAPAKSCIMEASTDFLPGLNFSNCSRQALEKALLEGMGSCLFERQPSLAPMSSLCGNMFVDPGEQCDCGFPDECTDPCCDHFTCQLRPGAQCASDGPCCQNCKLHPAGWLCRPPTDDCDLPEFCPGDSSQCPSDIRLGDGEPCASGEAVCMHGRCASYARQCQSLWGPGAQPAAPLCLQTANTRGNAFGSCGRSPGGSYMPCAPRDVMCGQLQCQWGRSQPLLGSVQDRLSEVLEANGTQLNCSWVDLDLGNDVAQPLLALPGTACGPGLVCIGHRCQPVDLLGAQECRRKCHGHGVCDSSGHCRCEEGWAPPDCMTQLKATSSLTTGLLLSLLLLLVLVLLGASYWHRARLHQRLCQLKGSSCQYRAPQSCPPERPGPPQRAQQMTGTKQASVVSFPVPPSRPLPPNPVPKKLQAALADRSNPPTRPLPADPVVRRPKSQGPTKPPPPRKPLPANPQGQHPPGDLPGPGDGSLPLVVPSRPAPPPPAASSLYL</t>
  </si>
  <si>
    <t>O95450</t>
  </si>
  <si>
    <t>RRLLCPALLLLLLLLPPPLLPPPPPPANARLAAAADPPGGPLGHGAERILAVPVRTDAQGRLVSHVVSAATSRAGVRARRAAPVRTPSFPGGNEEEPGSHLFYNVTVFGRDLHLRLRPNARLVAPGATMEWQGEKGTTRVEPLLGSCLYVGDVAGLAEAS</t>
  </si>
  <si>
    <t>MDPPAGAARRLLCPALLLLLLLLPPPLLPPPPPPANARLAAAADPPGGPLGHGAERILAVPVRTDAQGRLVSHVVSAATSRAGVRARRAAPVRTPSFPGGNEEEPGSHLFYNVTVFGRDLHLRLRPNARLVAPGATMEWQGEKGTTRVEPLLGSCLYVGDVAGLAEASSVALSNCDGLAGLIRMEEEEFFIEPLEKGLAAQEAEQGRVHVVYRRPPTSPPLGGPQALDTGASLDSLDSLSRALGVLEEHANSSRRRARRHAADDDYNIEVLLGVDDSVVQFHGKEHVQKYLLTLMNIVNEIYHDESLGAHINVVLVRIILLSYGKSMSLIEIGNPSQSLENVCRWAYLQQKPDTGHDEYHDHAIFLTRQDFGPSGMQGYAPVTGMCHPVRSCTLNHEDGFSSAFVVAHETGHVLGMEHDGQGNRCGDEVRLGSIMAPLVQAAFHRFHWSRCSQQELSRYLHSYDCLLDDPFAHDWPALPQLPGLHYSMNEQCRFDFGLGYMMCTAFRTFDPCKQLWCSHPDNPYFCKTKKGPPLDGTMCAPGKHCFKGHCIWLTPDILKRDGSWGAWSPFGSCSRTCGTGVKFRTRQCDNPHPANGGRTCSGLAYDFQLCSRQDCPDSLADFREEQCRQWDLYFEHGDAQHHWLPHEHRDAKERCHLYCESRETGEVVSMKRMVHDGTRCSYKDAFSLCVRGDCRKVGCDGVIGSSKQEDKCGVCGGDNSHCKVVKGTFTRSPKKHGYIKMFEIPAGARHLLIQEVDATSHHLAVKNLETGKFILNEENDVDASSKTFIAMGVEWEYRDEDGRETLQTMGPLHGTITVLVIPVGDTRVSLTYKYMIHEDSLNVDDNNVLEEDSVVYEWALKKWSPCSKPCGGGSQFTKYGCRRRLDHKMVHRGFCAALSKPKAIRRACNPQECSQPVWVTGEWEPCSQTCGRTGMQVRSVRCIQPLHDNTTRSVHAKHCNDARPESRRACSRELCPGRWRAGPWSQCSVTCGNGTQERPVLCRTADDSFGICQEERPETARTCRLGPCPRNISDPSKKSYVVQWLSRPDPDSPIRKISSKGHCQGDKSIFCRMEVLSRYCSIPGYNKLCCKSCNLYNNLTNVEGRIEPPPGKHNDIDVFMPTLPVPTVAMEVRPSPSTPLEVPLNASSTNATEDHPETNAVDEPYKIHGLEDEVQPPNLIPRRPSPYEKTRNQRIQELIDEMRKKEMLGKF</t>
  </si>
  <si>
    <t>DGLAGLIRMEEEEFFIEPLEKGLAAQEAEQGRVHVVYRRPPTSPPLGGPQALDTGASLDSLDSLSRALGVLEEHANSSRRRARRHAADDDYNIEVLLGVDDSVVQFHGKEHVQKYLLTLMNIVNEIYHDESLGAHINVVLVRIILLSYGKSMSLIEIGNP</t>
  </si>
  <si>
    <t>GLIRMEEEEFFIEPLEKGLAAQEAEQGRVHVVYRRPPTSPPLGGPQALDTGASLDSLDSLSRALGVLEEHANSSRRRARRHAADDDYNIEVLLGVDDSVVQFHGKEHVQKYLLTLMNIVNEIYHDESLGAHINVVLVRIILLSYGKSMSLIEIGNPSQSL</t>
  </si>
  <si>
    <t>P00587</t>
  </si>
  <si>
    <t>LMEQVGTEEFIKRFGDGASRVVLSLPFAEGSSSVEYINNWEQAKALSVELEINFETRGKRGQDAMYEYMAQACAGNRVRRSVGSSLSCINLDWDVIRDKTKTKIESLKEHGPIKNKMSESPNKTVSEEKAKQYLEEFHQTALEHPELSELKTVTGTNPVF</t>
  </si>
  <si>
    <t>MSRKLFASILIGALLGIGAPPSAHAGADDVVDSSKSFVMENFSSYHGTKPGYVDSIQKGIQKPKSGTQGNYDDDWKGFYSTDNKYDAAGYSVDNENPLSGKAGGVVKVTYPGLTKVLALKVDNAETIKKELGLSLTEPLMEQVGTEEFIKRFGDGASRVVLSLPFAEGSSSVEYINNWEQAKALSVELEINFETRGKRGQDAMYEYMAQACAGNRVRRSVGSSL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</t>
  </si>
  <si>
    <t>P00588</t>
  </si>
  <si>
    <t>MLVRGYVVSRKLFASILIGALLGIGAPPSAHAGADDVVDSSKSFVMENFSSYHGTKPGYVDSIQKGIQKPKSGTQGNYDDDWKGFYSTDNKYDAAGYSVDNENPLSGKAGGVVKVTYPGLTKVLALKVDNAETIKKELGLSLTEPLMEQVGTEEFIKRFGDGASRVVLSLPFAEGSSSVEYINNWEQAKALSVELEINFETRGKRGQDAMYEYMAQACAGNRVRRSVGSSL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</t>
  </si>
  <si>
    <t>P00740</t>
  </si>
  <si>
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</si>
  <si>
    <t>P01026</t>
  </si>
  <si>
    <t>RVGLVAVDKGVFVLNKKNKLTQSKIWDVVEKADIGCTPGSGKNYAGVFMDAGLTFKTNQGLQTDQREDPECAKPAARRRRSVQLMERRMDKAGQYTDKGLRKCCEDGMRDIPMPYSCQRRARLITQGESCLKAFMDCCNYITKLREQHRRDHVLGLARSD</t>
  </si>
  <si>
    <t>MGPTSGSQLLVLLLLLASSLLALGSPMYSIITPNVLRLESEETFILEAHDAQGDVPVTVTVQDFLKKQVLTSEKTVLTGATGHLNRVFIKIPASKEFNADKGHKYVTVVANFGATVVEKAVLVSFQSGYLFIQTDKTIYTPGSTVFYRIFTVDNNLLPVGKTVVIVIETPDGVPIKRDILSSHNQYGILPLSWNIPELVNMGQWKIRAFYEHAPKQTFSAEFEVKEYVLPSFEVLVEPTEKFYYIHGPKGLEVSITARFLYGKNVDGTAFVIFGVQDEDKKISLALSLTRVLIEDGSGEAVLSRKVLMDGVRPSSPEALVGKSLYVSVTVILHSGSDMVEAERSGIPIVTSPYQIHFTKTPKFFKPAMPFDLMVFVTNPDGSPARRVPVVTQGSDAQALTQDDGVAKLSVNTPNNRQPLTITVSTKKEGIPDARQATRTMQAQPYSTMHNSNNYLHLSVSRVELKPGDNLNVNFHLRTDAGQEAKIRYYTYLVMNKGKLLKAGRQVREPGQDLVVLSLPITPEFIPSFRLVAYYTLIGANGQREVVADSVWVDVKDSCVGTLVVKGDPRDNRQPAPGHQTTLRIEGNQGARVGLVAVDKGVFVLNKKNKLTQSKIWDVVEKADIGCTPGSGKNYAGVFMDAGLTFKTNQGLQTDQREDPECAKPAARRRRSVQLMERRMDKAGQYTDKGLRKCCEDGMRDIPMPYSCQRRARLITQGESCLKAFMDCCNYITKLREQHRRDHVLGLARSDVDEDIIPEEDIISRSHFPESWLWTIEELKEPEKNGISTKVMNIFLKDSITTWEILAVSLSDKKGICVADPYEITVMQDFFIDLRLPYSVVRNEQVEIRAVLFNYREQEKLKVRVELLHNPAFCSMATAKKRYYQTIEIPPKSSVAVPYVIVPLKIGLQEVEVKAAVFNHFISDGVKKILKVVPEGMRVNKTVAVRTLDPEHLNQGGVQREDVNAADLSDQVPDTDSETRILLQGTPVAQMAEDAVDGERLKHLIVTPSGCGEQNMIGMTPTVIAVHYLDQTEQWEKFGLEKRQEALELIKKGYTQQLAFKQPISAYAAFNNRPPSTWLTAMWSRSFSLAANLIAIDSQVLCGAVKWLILEKQKPDGVFQEDGPVIHQEMIGGFRNTKEADVSLTAFVLIALQEARDICEGQVNSLPGSINKAGEYLEASYLNLQRPYTVAIAGYALALMNKLEEPYLTKFLNTAKDRNRWEEPGQQLYNVEATSYALLALLLLKDFDSVPPVVRWLNDERYYGGGYGSTQATFMVFQALAQYRADVPDHKDLNMDVSLHLPSRSSPTVFRLLWESGSLLRSEETKQNEGFSLTAKGKGQGTLSVVTVYHAKVKGKTTCKKFDLRVTIKPAPETAKKPQDAKSSMILDICTRYLGDVDATMSILDISMMTGFIPDTNDLELLSSGVDRYISKYEMDKAFSNKNTLIIYLEKISHSEEDCLSFKVHQFFNVGLIQPGSVKVYSYYNLEESCTRFYHPEKDDGMLSKLCHNEMCRCAEENCFMHQSQDQVSLNERLDKACEPGVDYVYKTKLTTIELSDDFDEYIMTIEQVIKSGSDEVQAGQERRFISHVKCRNALKLQKGKQYLMWGLSSDLWGEKPNTSYIIGKDTWVEHWPEAEERQDQKNQKQCEDLGAFTETMVVFGCPN</t>
  </si>
  <si>
    <t>P01127</t>
  </si>
  <si>
    <t>NRCWALFLSLCCYLRLVSAEGDPIPEELYEMLSDHSIRSFDDLQRLLHGDPGEEDGAELDLNMTRSHSGGELESLARGRRSLGSLTIAEPAMIAECKTRTEVFEISRRLIDRTNANFLVWPPCVEVQRCSGCCNNRNVQCRPTQVQLRPVQVRKIEIVRK</t>
  </si>
  <si>
    <t>MNRCWALFLSLCCYLRLVSAEGDPIPEELYEMLSDHSIRSFDDLQRLLHGDPGEEDGAELDLNMTRSHSGGELESLARGRRSLGSLTIAEPAMIAECKTRTEVFEISRRLIDRTNANFLVWPPCVEVQRCSGCCNNRNVQCRPTQVQLRPVQVRKIEIVRKKPIFKKATVTLEDHLACKCETVAAARPVTRSPGGSQEQRAKTPQTRVTIRTVRVRRPPKGKHRKFKHTHDKTALKETLGA</t>
  </si>
  <si>
    <t>P01137</t>
  </si>
  <si>
    <t>DVTGVVRQWLSRGGEIEGFRLSAHCSCDSRDNTLQVDINGFTTGRRGDLATIHGMNRPFLLLMATPLERAQHLQSSRHRRALDTNYCFSSTEKNCCVRQLYIDFRKDLGWKWIHEPKGYHANFCLGPCPYIWSLDTQYSKVLALYNQHNPGASAAPCCVP</t>
  </si>
  <si>
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</si>
  <si>
    <t>P01138</t>
  </si>
  <si>
    <t>HSLDTALRRARSAPAAAIAARVAGQTRNITVDPRLFKKRRLRSPRVLFSTQPPREAADTQDLDFEVGGAAPFNRTHRSKRSSSHPIFHRGEFSVCDSVSVWVGDKTTATDIKGKEVMVLGEVNINNSVFKQYFFETKCRDPNPVDSGCRGIDSKHWNSYC</t>
  </si>
  <si>
    <t>MSMLFYTLITAFLIGIQAEPHSESNVPAGHTIPQAHWTKLQHSLDTALRRARSAPAAAIAARVAGQTRNITVDPRLFKKRRLRSPRVLFSTQPPREAADTQDLDFEVGGAAPFNRTHRSKRSSSHPIFHRGEFSVCDSVSVWVGDKTTATDIKGKEVMVLGEVNINNSVFKQYFFETKCRDPNPVDSGCRGIDSKHWNSYCTTTHTFVKALTMDGKQAAWRFIRIDTACVCVLSRKAVRRA</t>
  </si>
  <si>
    <t>P01139</t>
  </si>
  <si>
    <t>HSLDTALRRARSAPTAPIAARVTGQTRNITVDPRLFKKRRLHSPRVLFSTQPPPTSSDTLDLDFQAHGTIPFNRTHRSKRSSTHPVFHMGEFSVCDSVSVWVGDKTTATDIKGKEVTVLAEVNINNSVFRQYFFETKCRASNPVESGCRGIDSKHWNSYC</t>
  </si>
  <si>
    <t>MSMLFYTLITAFLIGVQAEPYTDSNVPEGDSVPEAHWTKLQHSLDTALRRARSAPTAPIAARVTGQTRNITVDPRLFKKRRLHSPRVLFSTQPPPTSSDTLDLDFQAHGTIPFNRTHRSKRSSTHPVFHMGEFSVCDSVSVWVGDKTTATDIKGKEVTVLAEVNINNSVFRQYFFETKCRASNPVESGCRGIDSKHWNSYCTTTHTFVKALTTDEKQAAWRFIRIDTACVCVLSRKATRRG</t>
  </si>
  <si>
    <t>P01189</t>
  </si>
  <si>
    <t>KYVMGHFRWDRFGRRNSSSSGSSGAGQKREDVSAGEDCGPLPEGGPEPRSDGAKPGPREGKRSYSMEHFRWGKPVGKKRRPVKVYPNGAEDESAEAFPLEFKRELTGQRLREGDGPDGPADDGAGAQADLEHSLLVAAEKKDEGPYRMEHFRWGSPPKDK</t>
  </si>
  <si>
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</si>
  <si>
    <t>GAGQKREDVSAGEDCGPLPEGGPEPRSDGAKPGPREGKRSYSMEHFRWGKPVGKKRRPVKVYPNGAEDESAEAFPLEFKRELTGQRLREGDGPDGPADDGAGAQADLEHSLLVAAEKKDEGPYRMEHFRWGSPPKDKRYGGFMTSEKSQTPLVTLFKNAI</t>
  </si>
  <si>
    <t>VKVYPNGAEDESAEAFPLEFKRELTGQRLREGDGPDGPADDGAGAQADLEHSLLVAAEKKDEGPYRMEHFRWGSPPKDKRYGGFMTSEKSQTPLVTLFKNAIIKNAYKKGE-------------------------------------------------</t>
  </si>
  <si>
    <t>P01210</t>
  </si>
  <si>
    <t>ETCKELLQLSKPELPQDGTSTLRENSKPEESHLLAKRYGGFMKRYGGFMKKMDELYPMEPEEEANGSEILAKRYGGFMKKDAEEDDSLANSSDLLKELLETGDNRERSHHQDGSDNEEEVSKRYGGFMRGLKRSPQLEDEAKELQKRYGGFMRRVGRPEW</t>
  </si>
  <si>
    <t>MARFLTLCTWLLLLGPGLLATVRAECSQDCATCSYRLVRPADINFLACVMECEGKLPSLKIWETCKELLQLSKPELPQDGTSTLRENSKPEESHLLAKRYGGFMKRYGGFMKKMDELYPMEPEEEANGSEILAKRYGGFMKKDAEEDDSLANSSDLLKELLETGDNRERSHHQDGSDNEEEVSKRYGGFMRGLKRSPQLEDEAKELQKRYGGFMRRVGRPEWWMDYQKRYGGFLKRFAEALPSDEEGESYSKEVPEMEKRYGGFMRF</t>
  </si>
  <si>
    <t>ELYPMEPEEEANGSEILAKRYGGFMKKDAEEDDSLANSSDLLKELLETGDNRERSHHQDGSDNEEEVSKRYGGFMRGLKRSPQLEDEAKELQKRYGGFMRRVGRPEWWMDYQKRYGGFLKRFAEALPSDEEGESYSKEVPEMEKRYGGFMRF--------</t>
  </si>
  <si>
    <t>LKELLETGDNRERSHHQDGSDNEEEVSKRYGGFMRGLKRSPQLEDEAKELQKRYGGFMRRVGRPEWWMDYQKRYGGFLKRFAEALPSDEEGESYSKEVPEMEKRYGGFMRF-------------------------------------------------</t>
  </si>
  <si>
    <t>P01343</t>
  </si>
  <si>
    <t>LTFTSSATAGPETLCGAELVDALQFVCGDRGFYFNKPTGYGSSSRRAPQTGIVDECCFRSCDLRRLEMYCAPLKPAKSARSVRAQRHTDMPKTQKYQPPSTNKNTKSQRRKGWPKTHPGGEQKEGTEASLQIRGKKKEQRREIGSRNAECRGKKGK----</t>
  </si>
  <si>
    <t>MGKISSLPTQLFKCCFCDFLKVKMHTMSSSHLFYLALCLLTFTSSATAGPETLCGAELVDALQFVCGDRGFYFNKPTGYGSSSRRAPQTGIVDECCFRSCDLRRLEMYCAPLKPAKSARSVRAQRHTDMPKTQKYQPPSTNKNTKSQRRKGWPKTHPGGEQKEGTEASLQIRGKKKEQRREIGSRNAECRGKKGK</t>
  </si>
  <si>
    <t>P01344</t>
  </si>
  <si>
    <t>LTFLAFASCCIAAYRPSETLCGGELVDTLQFVCGDRGFYFSRPASRVSRRSRGIVEECCFRSCDLALLETYCATPAKSERDVSTPPTVLPDNFPRYPVGKFFQYDTWKQSTQRLRRGLPALLRARRGHVLAKELEAFREAKRHRPLIALPTQDPAHGGAP</t>
  </si>
  <si>
    <t>MGIPMGKSMLVLLTFLAFASCCIAAYRPSETLCGGELVDTLQFVCGDRGFYFSRPASRVSRRSRGIVEECCFRSCDLALLETYCATPAKSERDVSTPPTVLPDNFPRYPVGKFFQYDTWKQSTQRLRRGLPALLRARRGHVLAKELEAFREAKRHRPLIALPTQDPAHGGAPPEMASNRK</t>
  </si>
  <si>
    <t>P02768</t>
  </si>
  <si>
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</si>
  <si>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P02770</t>
  </si>
  <si>
    <t>MKWVTFLLLLFISGSAFSRGVFRREAHKSEIAHRFKDLGEQHFKGLVLIAFSQYLQKCPYEEHIKLVQEVTDFAKTCVADENAENCDKSIHTLFGDKLCAIPKLRDNYGELADCCAKQEPERNECFLQHKDDNPNLPPFQRPEAEAMCTSFQENPTSFLGHYLHEVARRHPYFYAPELLYYAEKYNEVLTQCCTESDKAACLTPKLDAVKEKALVAAVRQRMKCSSMQRFGERAFKAWAVARMSQRFPNAEFAEITKLATDVTKINKECCHGDLLECADDRAELAKYMCENQATISSKLQACCDKPVLQKSQCLAEIEHDNIPADLPSIAADFVEDKEVCKNYAEAKDVFLGTFLYEYSRRHPDYSVSLLLRLAKKYEATLEKCCAEGDPPACYGTVLAEFQPLVEEPKNLVKTNCELYEKLGEYGFQNAVLVRYTQKAPQVSTPTLVEAARNLGRVGTKCCTLPEAQRLPCVEDYLSAILNRLCVLHEKTPVSEKVTKCCSGSLVERRPCFSALTVDETYVPKEFKAETFTFHSDICTLPDKEKQIKKQTALAELVKHKPKATEDQLKTVMGDFAQFVDKCCKAADKDNCFATEGPNLVARSKEALA</t>
  </si>
  <si>
    <t>P03107</t>
  </si>
  <si>
    <t>MRHKRSAKRTKRASATQLYKTCKQAGTCPPDIIPKVEGKTIAEQILQYGSMGVFFGGLGIGTGSGTGGRTGYIPLGTRPPTATDTLAPVRPPLTVDPVGPSDPSIVSLVEETSFIDAGAPTSVPSIPPDVSGFSITTSTDTTPAILDINNTVTTVTTHNNPTFTDPSVLQPPTPAETGGHFTLSSSTISTHNYEEIPMDTFIVSTNPNTVTSSTPIPGSRPVARLGLYSRTTQQVKVVDPAFVTTPTKLITYDNPAYEGIDVDNTLYFSSNDNSINIAPDPDFLDIVALHRPALTSRRTGIRYSRIGNKQTLRTRSGKSIGAKVHYYYDLSTIDPAEEIELQTITPSTYTTTSHAASPTSINNGLYDIYADDFITDTSTTPVPSVPSTSLSGYIPANTTIPFGGAYNIPLVSGPDIPINITDQAPSLIPIVPGSPQYTIIADAGDFYLHPSYYMLRKRRKRLPYFFSDVSLAA</t>
  </si>
  <si>
    <t>P03188</t>
  </si>
  <si>
    <t>EKYEAVQDRYTKGQEAITYFITSGGLLLAWLPLTPRSLATVKNLTELTTPTSSPPSSPSPPAPSAARGSTPAAVLRRRRRDAGNATTPVPPTAPGKSLGTLNNPATVQIQFAYDSLRRQINRMLGDLARAWCLEQKRQNMVLRELTKINPTTVMSSIYGK</t>
  </si>
  <si>
    <t>MTRRRVLSVVVLLAALACRLGAQTPEQPAPPATTVQPTATRQQTSFPFRVCELSSHGDLFRFSSDIQCPSFGTRENHTEGLLMVFKDNIIPYSFKVRSYTKIVTNILIYNGWYADSVTNRHEEKFSVDSYETDQMDTIYQCYNAVKMTKDGLTRVYVDRDGVNITVNLKPTGGLANGVRRYASQTELYDAPGWLIWTYRTRTTVNCLITDMMAKSNSPFDFFVTTTGQTVEMSPFYDGKNKETFHERADSFHVRTNYKIVDYDNRGTNPQGERRAFLDKGTYTLSWKLENRTAYCPLQHWQTFDSTIATETGKSIHFVTDEGTSSFVTNTTVGIELPDAFKCIEEQVNKTMHEKYEAVQDRYTKGQEAITYFITSGGLLLAWLPLTPRSLATVKNLTELTTPTSSPPSSPSPPAPSAARGSTPAAVLRRRRRDAGNATTPVPPTAPGKSLGTLNNPATVQIQFAYDSLRRQINRMLGDLARAWCLEQKRQNMVLRELTKINPTTVMSSIYGKAVAAKRLGDVISVSQCVPVNQATVTLRKSMRVPGSETMCYSRPLVSFSFINDTKTYEGQLGTDNEIFLTKKMTEVCQATSQYYFQSGNEIHVYNDYHHFKTIELDGIATLQTFISLNTSLIENIDFASLELYSRDEQRASNVFDLEGIFREYNFQAQNIAGLRKDLDNAVSNGRNQFVDGLGELMDSLGSVGQSITNLVSTVGGLFSSLVSGFISFFKNPFGGMLILVLVAGVVILVISLTRRTRQMSQQPVQMLYPGIDELAQQHASGEGPGINPISKTELQAIMLALHEQNQEQKRAAQRAAGPSVASRALQAARDRFPGLRRRRYHDPETAAALLGEAETEF</t>
  </si>
  <si>
    <t>P03316</t>
  </si>
  <si>
    <t>SKGKTIKTTPEGTEEWSAAPLVTAMCLLGNVSFPCDRPPTCYTREPSRALDILEENVNHEAYDTLLNAILRCGSSGRSKRSVIDDFTLTSPYLGTCSYCHHTVPCFSPVKIEQVWDEADDNTIRIQTSAQFGYDQSGAASANKYRYMSLKQDHTVKEGTM</t>
  </si>
  <si>
    <t>MNRGFFNMLGRRPFPAPTAMWRPRRRRQAAPMPARNGLASQIQQLTTAVSALVIGQATRPQPPRPRPPPRQKKQAPKQPPKPKKPKTQEKKKKQPAKPKPGKRQRMALKLEADRLFDVKNEDGDVIGHALAMEGKVMKPLHVKGTIDHPVLSKLKFTKSSAYDMEFAQLPVNMRSEAFTYTSEHPEGFYNWHHGAVQYSGGRFTIPRGVGGRGDSGRPIMDNSGRVVAIVLGGADEGTRTALSVVTWNSKGKTIKTTPEGTEEWSAAPLVTAMCLLGNVSFPCDRPPTCYTREPSRALDILEENVNHEAYDTLLNAILRCGSSGRSKRSVIDDFTLTSPYLGTCSYCHHTVPCFSPVKIEQVWDEADDNTIRIQTSAQFGYDQSGAASANKYRYMSLKQDHTVKEGTMDDIKISTSGPCRRLSYKGYFLLAKCPPGDSVTVSIVSSNSATSCTLARKIKPKFVGREKYDLPPVHGKKIPCTVYDRLKETTAGYITMHRPRPHAYTSYLEESSGKVYAKPPSGKNITYECKCGDYKTGTVSTRTEITGCTAIKQCVAYKSDQTKWVFNSPDLIRHDDHTAQGKLHLPFKLIPSTCMVPVAHAPNVIHGFKHISLQLDTDHLTLLTTRRLGANPEPTTEWIVGKTVRNFTVDRDGLEYIWGNHEPVRVYAQESAPGDPHGWPHEIVQHYYHRHPVYTILAVASATVAMMIGVTVAVLCACKARRECLTPYALAPNAVIPTSLALLCCVRSANAETFTETMSYLWSNSQPFFWVQLCIPLAAFIVLMRCCSCCLPFLVVAGAYLAKVDAYEHATTVPNVPQIPYKALVERAGYAPLNLEITVMSSEVLPSTNQEYITCKFTTVVPSPKIKCCGSLECQPAAHADYTCKVFGGVYPFMWGGAQCFCDSENSQMSEAYVELSADCASDHAQAIKVHTAAMKVGLRIVYGNTTSFLDVYVNGVTPGTSKDLKVIAGPISASFTPFDHKVVIHRGLVYNYDFPEYGAMKPGAFGDIQATSLTSKDLIASTDIRLLKPSAKNVHVPYTQASSGFEMWKNNSGRPLQETAPFGCKIAVNPLRAVDCSYGNIPISIDIPNAAFIRTSDAPLVSTVKCEVSECTYSADFGGMATLQYVSDREGQCPVHSHSSTATLQESTVHVLEKGAVTVHFSTASPQANFIVSLCGKKTTCNAECKPPADHIVSTPHKNDQEFQAAISKTSWSWLFALFGGASSLLIIGLMIFACSMMLTSTRR</t>
  </si>
  <si>
    <t>P03459</t>
  </si>
  <si>
    <t>PNRASFLRGKSMGIQSDVQVDANCEGECYHSGGTITSRLPFQNINSRAVGKCPRYVKQESLLLATGMKNVPEPSKKREKRGLFGAIAGFIENGWEGLVDGWYGFRHQNAQGEGTAADYKSTQSAIDQITGKLNRLIEKTNQQFELIDNEFTEVEKQIGNL</t>
  </si>
  <si>
    <t>MNTQILVFALVAVIPTNADKICLGHHAVSNGTKVNTLTERGVEVVNATETVERTNIPKICSKGKRTTDLGQCGLLGTITGPPQCDQFLEFSADLIIERREGNDVCYPGKFVNEEALRQILRGSGGIDKETMGFTYSGIRTNGTTSACRRSGSSFYAEMEWLLSNTDNASFPQMTKSYKNTRRESALIVWGIHHSGSTTEQTKLYGSGNKLITVGSSKYHQSFVPSPGTRPQINGQSGRIDFHWLILDPNDTVTFSFNGAFIAPNRASFLRGKSMGIQSDVQVDANCEGECYHSGGTITSRLPFQNINSRAVGKCPRYVKQESLLLATGMKNVPEPSKKREKRGLFGAIAGFIENGWEGLVDGWYGFRHQNAQGEGTAADYKSTQSAIDQITGKLNRLIEKTNQQFELIDNEFTEVEKQIGNLINWTKDFITEVWSYNAELLVAMENQHTIDLADSEMNKLYERVRKQLRENAEEDGTGCFEIFHKCDDDCMASIRNNTYDHSKYREEAMQNRIQIDPVKLSSGYKDVILWFSFGASCFLLLAIAVGLVFICVKNGNMRCTICI</t>
  </si>
  <si>
    <t>P04070</t>
  </si>
  <si>
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</si>
  <si>
    <t>CDCRSGWEGRFCQREVSFLNCSLDNGGCTHYCLEEVGWRRCSCAPGYKLGDDLLQCHPAVKFPCGRPWKRMEKKRSHLKRDTEDQEDQVDPRLIDGKMTRRGDSPWQVVLLDSKKKLACGAVLIHPSWVLTAAHCMDESKKLLVRLGEYDLRRWEKWELD</t>
  </si>
  <si>
    <t>P04085</t>
  </si>
  <si>
    <t>LLLLGCGYLAHVLAEEAEIPREVIERLARSQIHSIRDLQRLLEIDSVGSEDSLDTSLRAHGVHATKHVPEKRPLPIRRKRSIEEAVPAVCKTRTVIYEIPRSQVDPTSANFLIWPPCVEVKRCTGCCNTSSVKCQPSRVHHRSVKVAKVEYVRKKPKLKE</t>
  </si>
  <si>
    <t>MRTLACLLLLGCGYLAHVLAEEAEIPREVIERLARSQIHSIRDLQRLLEIDSVGSEDSLDTSLRAHGVHATKHVPEKRPLPIRRKRSIEEAVPAVCKTRTVIYEIPRSQVDPTSANFLIWPPCVEVKRCTGCCNTSSVKCQPSRVHHRSVKVAKVEYVRKKPKLKEVQVRLEEHLECACATTSLNPDYREEDTGRPRESGKKRKRKRLKPT</t>
  </si>
  <si>
    <t>P04275</t>
  </si>
  <si>
    <t>LEGCFCPPGLYMDERGDCVPKAQCPCYYDGEIFQPEDIFSDHHTMCYCEDGFMHCTMSGVPGSLLPDAVLSSPLSHRSKRSLSCRPPMVKLVCPADNLRAEGLECTKTCQNYDLECMSMGCVSGCLCPPGMVRHENRCVALERCPCFHQGKEYAPGETVK</t>
  </si>
  <si>
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</si>
  <si>
    <t>P04578</t>
  </si>
  <si>
    <t>KAMYAPPISGQIRCSSNITGLLLTRDGGNSNNESEIFRPGGGDMRDNWRSELYKYKVVKIEPLGVAPTKAKRRVVQREKRAVGIGALFLGFLGAAGSTMGAASMTLTVQARQLLSGIVQQQNNLLRAIEAQQHLLQLTVWGIKQLQARILAVERYLKDQQ</t>
  </si>
  <si>
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</si>
  <si>
    <t>P05019</t>
  </si>
  <si>
    <t>P05305</t>
  </si>
  <si>
    <t>MDYLLMIFSLLFVACQGAPETAVLGAELSAVGENGGEKPTPSPPWRLRRSKRCSCSSLMDKECVYFCHLDIIWVNTPEHVVPYGLGSPRSKRALENLLPTKATDRENRCQCASQKDKKCWNFCQAGKELRAEDIMEKDWNNHKKGKDCSKLGKKCIYQQLVRGRKIRRSSEEHLRQTRSETMRNSVKSSFHDPKLKGKPSRERYVTHNRAHW</t>
  </si>
  <si>
    <t>VACQGAPETAVLGAELSAVGENGGEKPTPSPPWRLRRSKRCSCSSLMDKECVYFCHLDIIWVNTPEHVVPYGLGSPRSKRALENLLPTKATDRENRCQCASQKDKKCWNFCQAGKELRAEDIMEKDWNNHKKGKDCSKLGKKCIYQQLVRGRKIRRSSEE</t>
  </si>
  <si>
    <t>SAVGENGGEKPTPSPPWRLRRSKRCSCSSLMDKECVYFCHLDIIWVNTPEHVVPYGLGSPRSKRALENLLPTKATDRENRCQCASQKDKKCWNFCQAGKELRAEDIMEKDWNNHKKGKDCSKLGKKCIYQQLVRGRKIRRSSEEHLRQTRSETMRNSVKS</t>
  </si>
  <si>
    <t>RSKRALENLLPTKATDRENRCQCASQKDKKCWNFCQAGKELRAEDIMEKDWNNHKKGKDCSKLGKKCIYQQLVRGRKIRRSSEEHLRQTRSETMRNSVKSSFHDPKLKGKPSRERYVTHNRAHW------------------------------------</t>
  </si>
  <si>
    <t>P05408</t>
  </si>
  <si>
    <t>NIPKDFSEDQGYPDPPNPCPVGKTADDGCLENTPDTAEFSREFQLHQHLFDPEHDYPGLGKWNKKLLYEKMKGGERRKRRSVNPYLQGQRLDNVVAKKSVPHFSDEDKDPE-------------------------------------------------</t>
  </si>
  <si>
    <t>MVSRMVSTMLSGLLFWLASGWTPAFAYSPRTPDRVSEADIQRLLHGVMEQLGIARPRVEYPAHQAMNLVGPQSIEGGAHEGLQHLGPFGNIPNIVAELTGDNIPKDFSEDQGYPDPPNPCPVGKTADDGCLENTPDTAEFSREFQLHQHLFDPEHDYPGLGKWNKKLLYEKMKGGERRKRRSVNPYLQGQRLDNVVAKKSVPHFSDEDKDPE</t>
  </si>
  <si>
    <t>P06213</t>
  </si>
  <si>
    <t>RTWSPPFESEDSQKHNQSEYEDSAGECCSCPKTDSQILKELEESSFRKTFEDYLHNVVFVPRKTSSGTGAEDPRPSRKRRSLGDVGNVTVAVPTVAAFPNTSSTSVPTSPEEHRPFEKVVNKESLVISGLRHFTGYRIELQACNQDTPEERCSVAAYVSA</t>
  </si>
  <si>
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</si>
  <si>
    <t>P06300</t>
  </si>
  <si>
    <t>NEEDLRKQAKRYGGFLRKYPKRSSEMTGDEDRGQDGDQVGHEDLYKRYGGFLRRIRPKLKWDNQKRYGGFLRRQFKVVTRSQENPNTYSEDLDV------------------------------------------------------------------</t>
  </si>
  <si>
    <t>MAWSRLMLAACLLVIPSEVAADCLSLCSLCAVRTQDGPHPINPLICSLECQDLVPPSEEWETCRGFWSFLTLTASGLHGKDDLENEVALEEGYTALTKLLEPLLKELEKGQLLTSVSEEKLRGLSSRFGNGRESELLGTDLMNDEAAQAGTLHFNEEDLRKQAKRYGGFLRKYPKRSSEMTGDEDRGQDGDQVGHEDLYKRYGGFLRRIRPKLKWDNQKRYGGFLRRQFKVVTRSQENPNTYSEDLDV</t>
  </si>
  <si>
    <t>P06756</t>
  </si>
  <si>
    <t>ELRNNGPSSFSKAMLHLQWPYKYNNNTLLYILHYDIDGPMNCTSDMEINPLRIKISSLQTTEKNDTVAGQGERDHLITKRDLALSEGDIHTLGCGVAQCLKIVCQVGRLDRGKSAILYVKSLLWTETFMNKENQNHSYSLKSSASFNVIEFPYKNLPIED</t>
  </si>
  <si>
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</si>
  <si>
    <t>P06828</t>
  </si>
  <si>
    <t>VLVNSPKGMKISQNFETRYLILSLIPKIEDSNSCGDQQIKQYKRLLDRLIIPLYDGLRLQKDVIVSNQESNENTDPRTKRFFGGVIGTIALGVATSAQITAAVALVEAKQARSDIEKLKEAIRDTNKAVQSVQSSIGNLIVAIKSVQDYVNKEIVPSIAR</t>
  </si>
  <si>
    <t>MPTSILLIITTMIMASFCQIDITKLQHVGVLVNSPKGMKISQNFETRYLILSLIPKIEDSNSCGDQQIKQYKRLLDRLIIPLYDGLRLQKDVIVSNQESNENTDPRTKRFFGGVIGTIALGVATSAQITAAVALVEAKQARSDIEKLKEAIRDTNKAVQSVQSSIGNLIVAIKSVQDYVNKEIVPSIARLGCEAAGLQLGIALTQHYSELTNIFGDNIGSLQEKGIKLQGIASLYRTNITEIFTTSTVDKYDIYDLLFTESIKVRVIDVDLNDYSITLQVRLPLLTRLLNTQIYRVDSISYNIQNREWYIPLPSHIMTKGAFLGGADVKECIEAFSSYICPSDPGFVLNHEMESCLSGNISQCPRTVVKSDIVPRYAFVNGGVVANCITTTCTCNGIGNRINQPPDQGVKIITHKECNTIGINGMLFNTNKEGTLAFYTPNDITLNNSVALDPIDISIELNKAKSDLEESKEWIRRSNQKLDSIGNWHQSSTTIIIVLIMIIILFIINVTIIIIAVKYYRIQKRNRVDQNDKPYVLTNK</t>
  </si>
  <si>
    <t>P08253</t>
  </si>
  <si>
    <t>CLLSHAAAAPSPIIKFPGDVAPKTDKELAVQYLNTFYGCPKESCNLFVLKDTLKKMQKFFGLPQTGDLDQNTIETMRKPRCGNPDVANYNFFPRKPKWDKNQITYRIIGYTPDLDPETVDDAFARAFQVWSDVTPLRFSRIHDGEADIMINFGRWEHGDG</t>
  </si>
  <si>
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</si>
  <si>
    <t>P08294</t>
  </si>
  <si>
    <t>RDGSLWRYRAGLAASLAGPHSIVGRAVVVHAGEDDLGRGGNQASVENGNAGRRLACCVVGVCGPGLWERQAREHSERKKRRRESECKAA-----------------------------------------------------------------------</t>
  </si>
  <si>
    <t>MLALLCSCLLLAAGASDAWTGEDSAEPNSDSAEWIRDMYAKVTEIWQEVMQRRDDDGALHAACQVQPSATLDAAQPRVTGVVLFRQLAPRAKLDAFFALEGFPTEPNSSSRAIHVHQFGDLSQGCESTGPHYNPLAVPHPQHPGDFGNFAVRDGSLWRYRAGLAASLAGPHSIVGRAVVVHAGEDDLGRGGNQASVENGNAGRRLACCVVGVCGPGLWERQAREHSERKKRRRESECKAA</t>
  </si>
  <si>
    <t>P08581</t>
  </si>
  <si>
    <t>FLTDQSYIDVLPEFRDSYPIKYVHAFESNNFIYFLTVQRETLDAQTFHTRIIRFCSINSGLHSYMEMPLECILTEKRKKRSTKKEVFNILQAAYVSKPGAQLARQIGASLNDDILFGVFAQSKPDSAEPMDRSAMCAFPIKYVNDFFNKIVNKNNVRCLQ</t>
  </si>
  <si>
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</si>
  <si>
    <t>P08648</t>
  </si>
  <si>
    <t>QPQKEEDLGPAVHHVYELINQGPSSISQGVLELSCPQALEGQQLLYVTRVTGLNCTTNHPINPKGLELDPEGSLHHQQKREAPSRSSASSGPQILKCPEAECFRLRCELGPLHQQESQSLQLHFRVWAKTFLQREHQPFSLQCEAVYKALKMPYRILPRQ</t>
  </si>
  <si>
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</si>
  <si>
    <t>P09167</t>
  </si>
  <si>
    <t>SSIRYQWDKRYIPGEVKWWDWNWTIQQNGLSTMQNNLARVLRPVRAGITGDFSAESQFAGNIEIGAPVPLAADSKVRRARSVDGAGQGLRLEIPLDAQELSGLGFNNVSLSVTPAANQ------------------------------------------</t>
  </si>
  <si>
    <t>MQKIKLTGLSLIISGLLMAQAQAAEPVYPDQLRLFSLGQGVCGDKYRPVNREEAQSVKSNIVGMMGQWQISGLANGWVIMGPGYNGEIKPGTASNTWCYPTNPVTGEIPTLSALDIPDGDEVDVQWRLVHDSANFIKPTSYLAHYLGYAWVGGNHSQYVGEDMDVTRDGDGWVIRGNNDGGCDGYRCGDKTAIKVSNFAYNLDPDSFKHGDVTQSDRQLVKTVVGWAVNDSDTPQSGYDVTLRYDTATNWSKTNTYGLSEKVTTKNKFKWPLVGETELSIEIAANQSWASQNGGSTTTSLSQSVRPTVPARSKIPVKIELYKADISYPYEFKADVSYDLTLSGFLRWGGNAWYTHPDNRPNWNHTFVIGPYKDKASSIRYQWDKRYIPGEVKWWDWNWTIQQNGLSTMQNNLARVLRPVRAGITGDFSAESQFAGNIEIGAPVPLAADSKVRRARSVDGAGQGLRLEIPLDAQELSGLGFNNVSLSVTPAANQ</t>
  </si>
  <si>
    <t>P09958</t>
  </si>
  <si>
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</si>
  <si>
    <t>QGQKVFTNTWAVRIPGGPAVANSVARKHGFLNLGQIFGDYYHFWHRGVTKRSLSPHRPRHSRLQREPQVQWLEQQVAKRRTKRDVYQEPTDPKFPQQWYLSGVTQRDLNVKAAWAQGYTGHGIVVSILDDGIEKNHPDLAGNYDPGASFDVNDQDPDPQP</t>
  </si>
  <si>
    <t>KVFTNTWAVRIPGGPAVANSVARKHGFLNLGQIFGDYYHFWHRGVTKRSLSPHRPRHSRLQREPQVQWLEQQVAKRRTKRDVYQEPTDPKFPQQWYLSGVTQRDLNVKAAWAQGYTGHGIVVSILDDGIEKNHPDLAGNYDPGASFDVNDQDPDPQPRYT</t>
  </si>
  <si>
    <t>P10163</t>
  </si>
  <si>
    <t>KPEGRPPQGGNQSQGPPPHPGKPERPPPQGGNQSHRPPPPPGKPERPPPQGGNQSQGPPPHPGKPEGPPPQEGNKSRSARSPPGKPQGPPQQEGNKPQGPPPPGKPQGPPPAGGNPQQPQAPPAGKPQGPPPPPQGGRPPRPAQGQQPPQ----------</t>
  </si>
  <si>
    <t>MLLILLSVALLALSSAESSSEDVSQEESLFLISGKPEGRRPQGGNQPQRPPPPPGKPQGPPPQGGNQSQGPPPPPGKPEGRPPQGGNQSQGPPPHPGKPERPPPQGGNQSQGPPPHPGKPESRPPQGGHQSQGPPPTPGKPEGPPPQGGNQSQGTPPPPGKPEGRPPQGGNQSQGPPPHPGKPERPPPQGGNQSHRPPPPPGKPERPPPQGGNQSQGPPPHPGKPEGPPPQEGNKSRSARSPPGKPQGPPQQEGNKPQGPPPPGKPQGPPPAGGNPQQPQAPPAGKPQGPPPPPQGGRPPRPAQGQQPPQ</t>
  </si>
  <si>
    <t>P11132</t>
  </si>
  <si>
    <t>APEYAYKIVKKGDSAIMKSGLEYGNCNTKCQTPIGAINSSMPFHNIHPLTIGECPKYVKSDRLVLATGLRNTPQRKRKKRGLFGAIAGFIEGGWQGMVDGWYGYHHSNEQGSGYAADKESTQKAIDGITNKVNSIIDKMNTQFEAVGKEFNNLERRIENL</t>
  </si>
  <si>
    <t>MEEIVLLFAIVSLARSDQICIGYHANNSTKQVDTIMEKNVTVTHAQDILEKTHNGKLCSLNGVKPLILRDCSVAGWLLGNPMCDEFLNVPEWSYIVEKDNPVNGLCYPGDFNDYEELKHLLSCTKHFEKIRIIPRDSWPNHEASLGVSSACPYNGRSSFFRNVVWLIKKDNAYPTIKRSYNNTNKEDLLILWGIHHPNDAAEQTKLYQNPTTYVSVGTSTLNQRSIPKIATRPKLNGQSGRMEFFWTILKPSDTINFESNGNFIAPEYAYKIVKKGDSAIMKSGLEYGNCNTKCQTPIGAINSSMPFHNIHPLTIGECPKYVKSDRLVLATGLRNTPQRKRKKRGLFGAIAGFIEGGWQGMVDGWYGYHHSNEQGSGYAADKESTQKAIDGITNKVNSIIDKMNTQFEAVGKEFNNLERRIENLNKILEDGFLDVWTYNAELLVLMENERTLDFHEANVKSLYDKVRLQLKDNARELGNGCFEFYHKCDNECMESIRNGTYNYPQYSEEARLNREEISGIKLESMGIYQILSIYSTVASSLALAIMIAGLSFWMCSNGSLQCRICI</t>
  </si>
  <si>
    <t>P11223</t>
  </si>
  <si>
    <t>LADAGLAILDTSGSIDIFVVQGEYGLNYYKVNPCEDVNQQFVVSGGKLVGILTSRNETGSQLLENQFYIKITNGTRRFRRSITENVANCPYVSYGKFCIKPDGSIATIVPKQLEQFVAPLFNVTENVLIPNSFNLTVTDEYIQTRMDKVQINCLQYVCGS</t>
  </si>
  <si>
    <t>MLVTPLLLVTLLCALCSAVLYDSSSYVYYYQSAFRPPSGWHLQGGAYAVVNISSEFNNAGSSSGCTVGIIHGGRVVNASSIAMTAPSSGMAWSSSQFCTAHCNFSDTTVFVTHCYKHGGCPLTGMLQQNLIRVSAMKNGQLFYNLTVSVAKYPTFRSFQCVNNLTSVYLNGDLVYTSNETIDVTSAGVYFKAGGPITYKVMREVKALAYFVNGTAQDVILCDGSPRGLLACQYNTGNFSDGFYPFTNSSLVKQKFIVYRENSVNTTCTLHNFIFHNETGANPNPSGVQNIQTYQTKTAQSGYYNFNFSFLSSFVYKESNFMYGSYHPSCKFRLETINNGLWFNSLSVSIAYGPLQGGCKQSVFKGRATCCYAYSYGGPSLCKGVYSGELDHNFECGLLVYVTKSGGSRIQTATEPPVITQNNYNNITLNTCVDYNIYGRTGQGFITNVTDSAVSYNYLADAGLAILDTSGSIDIFVVQGEYGLNYYKVNPCEDVNQQFVVSGGKLVGILTSRNETGSQLLENQFYIKITNGTRRFRRSITENVANCPYVSYGKFCIKPDGSIATIVPKQLEQFVAPLFNVTENVLIPNSFNLTVTDEYIQTRMDKVQINCLQYVCGSSLDCRKLFQQYGPVCDNILSVVNSVGQKEDMELLNFYSSTKPAGFNTPVLSNVSTGEFNISLLLTNPSSRRKRSLIEDLLFTSVESVGLPTNDAYKNCTAGPLGFFKDLACAREYNGLLVLPPIITAEMQALYTSSLVASMAFGGITAAGAIPFATQLQARINHLGITQSLLLKNQEKIAASFNKAIGHMQEGFRSTSLALQQIQDVVSKQSAILTETMASLNKNFGAISSVIQEIYQQFDAIQANAQVDRLITGRLSSLSVLASAKQAEYIRVSQQRELATQKINECVKSQSIRYSFCGNGRHVLTIPQNAPNGIVFIHFSYTPDSFVNVTAIVGFCVKPANASQYAIVPANGRGIFIQVNGSYYITARDMYMPRAITAGDVVTLTSCQANYVSVNKTVITTFVDNDDFDFNDELSKWWNDTKHELPDFDKFNYTVPILDIDSEIDRIQGVIQGLNDSLIDLEKLSILKTYIKWPWYVWLAIAFATIIFILILGWVFFMTGCCGCCCGCFGIMPLMSKCGKKSSYYTTFDNDVVTEQYRPKKSV</t>
  </si>
  <si>
    <t>P11439</t>
  </si>
  <si>
    <t>DPLDGVYNYLAQQRCNLDDTWEGKIYRVLAGNPAKHDLDIKPTVISHRLHFPEGGSLAALTAHQACHLPLETFTRHRQPRGWEQLEQCGYPVQRLVALYLAARLSWNQVDQVIRNALASPGSGGDLGEAIREQPEQARLALTLAAAESERFVRQGTGNDE</t>
  </si>
  <si>
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</si>
  <si>
    <t>P12272</t>
  </si>
  <si>
    <t>MQRRLVQQWSVAVFLLSYAVPSCGRSVEGLSRRLKRAVSEHQLLHDKGKSIQDLRRRFFLHHLIAEIHTAEIRATSEVSPNSKPSPNTKNHPVRFGSDDEGRYLTQETNKVETYKEQPLKTPGKKKKGKPGKRKEQEKKKRRTRSAWLDSGVTGSGLEGDHLSDTSTTSLELDSRRH</t>
  </si>
  <si>
    <t>P12644</t>
  </si>
  <si>
    <t>ETFDVSPAVLRWTREKQPNYGLAIEVTHLHQTRTHQGQHVRISRSLPQGSGNWAQLRPLLVTFGHDGRGHALTRRRRAKRSPKHHSQRARKKNKNCRRHSLYVDFSDVGWNDWIVAPPGYQAFYCHGDCPFPLADHLNSTNHAIVQTLVNSVNSSIPKAC</t>
  </si>
  <si>
    <t>MIPGNRMLMVVLLCQVLLGGASHASLIPETGKKKVAEIQGHAGGRRSGQSHELLRDFEATLLQMFGLRRRPQPSKSAVIPDYMRDLYRLQSGEEEEEQIHSTGLEYPERPASRANTVRSFHHEEHLENIPGTSENSAFRFLFNLSSIPENEVISSAELRLFREQVDQGPDWERGFHRINIYEVMKPPAEVVPGHLITRLLDTRLVHHNVTRWETFDVSPAVLRWTREKQPNYGLAIEVTHLHQTRTHQGQHVRISRSLPQGSGNWAQLRPLLVTFGHDGRGHALTRRRRAKRSPKHHSQRARKKNKNCRRHSLYVDFSDVGWNDWIVAPPGYQAFYCHGDCPFPLADHLNSTNHAIVQTLVNSVNSSIPKACCVPTELSAISMLYLDEYDKVVLKNYQEMVVEGCGCR</t>
  </si>
  <si>
    <t>P12961</t>
  </si>
  <si>
    <t>NIPKDFSEDQGYPDPPNPCPLGKTADDGCLENAPDTAEFSREFQLDQHLFDPEHDYPGLGKWNKKLLYEKMKGGQRRKRRSVNPYLQGKRLDNVVAKKSVPHFSEEEKEAE-------------------------------------------------</t>
  </si>
  <si>
    <t>MASRLVSAMLSGLLFWLMFEWNPAFAYSPRTPDRVSETDIQRLLHGVMEQLGIARPRVEYPAHQAMNLVGPQSIEGGAHEGLQHLGPFGNIPNIVAELTGDNIPKDFSEDQGYPDPPNPCPLGKTADDGCLENAPDTAEFSREFQLDQHLFDPEHDYPGLGKWNKKLLYEKMKGGQRRKRRSVNPYLQGKRLDNVVAKKSVPHFSEEEKEAE</t>
  </si>
  <si>
    <t>P13201</t>
  </si>
  <si>
    <t>EVNMSDSALDCVRDEAINKLQQIFNTSYNQTYEKYGNVSVFETTGGLVVFWQGIKQKSLVELERLANRSSLNLTHNRTKRSTDGNNATHLSNMESVHNLVYAQLQFTYDTLRGYINRALAQIAEAWCVDQRRTLEVFKELSKINPSAILSAIYNKPIAAR</t>
  </si>
  <si>
    <t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IYLIYTRQRRLCMQPLQNLFPYLVSADGTTVTSGNTKDTSLQAPPSYEESVYNSGRKGPGPPSSDASTAAPPYTNEQAYQMLLALVRLDAEQRAQQNGTDSLDGQTGTQDKGQKPNLLDRLRHRKNGYRHLKDSDEEENV</t>
  </si>
  <si>
    <t>P13423</t>
  </si>
  <si>
    <t>TMWVDDQEVINKASNSNKIRLEKGRLYQIKIQYQRENPTEKGLDFKLYWTDSQNKKEVISSDNLQLPELKQKSSNSRKKRSTSAGPTVPDRDNDGIPDSLEVEGYTVDVKNKRTFLSPWISNIHEKKGLTKYKSSPEKWSTASDPYSDFEKVTGRIDKNV</t>
  </si>
  <si>
    <t>MKKRKVLIPLMALSTILVSSTGNLEVIQA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ATNIYTVLDKIKLNAKMNILIRDKRFHYDRNNIAVGADESVVKEAHREVINSSTEGLLLNIDKDIRKILSGYIVEIEDTEGLKEVINDRYDMLNISSLRQDGKTFIDFKKYNDKLPLYISNPNYKVNVYAVTKENTIINPSENGDTSTNGIKKILIFSKKGYEIG</t>
  </si>
  <si>
    <t>P13497</t>
  </si>
  <si>
    <t>LNYKDPCKAAAFLGDIALDEEDLRAFQVQQAVDLRRHTARKSSIKAAVPGNTSTPSCQSTNGQPQRGACGRWRGRSRSRRAATSRPERVWPDGVIPFVIGGNFTGSQRAVFRQAMRHWEKHTCVTFLERTDEDSYIVFTYRPCGCCSYVGRRGGGPQAIS</t>
  </si>
  <si>
    <t>MPGVARLPLLLGLLLLPRPGRPLDLADYTYDLAEEDDSEPLNYKDPCKAAAFLGDIALDEEDLRAFQVQQAVDLRRHTARKSSIKAAVPGNTSTPSCQSTNGQPQRGACGRWRGRSRSRRAATSRPERVWPDGVIPFVIGGNFTGSQRAVFRQAMRHWEKHTCVTFLERTDEDSYIVFTYRPCGCCSYVGRRGGGPQAISIGKNCDKFGIVVHELGHVVGFWHEHTRPDRDRHVSIVRENIQPGQEYNFLKMEPQEVESLGETYDFDSIMHYARNTFSRGIFLDTIVPKYEVNGVKPPIGQRTRLSKGDIAQARKLYKCPACGETLQDSTGNFSSPEYPNGYSAHMHCVWRISVTPGEKIILNFTSLDLYRSRLCWYDYVEVRDGFWRKAPLRGRFCGSKLPEPIVSTDSRLWVEFRSSSNWVGKGFFAVYEAICGGDVKKDYGHIQSPNYPDDYRPSKVCIWRIQVSEGFHVGLTFQSFEIERHDSCAYDYLEVRDGHSESSTLIGRYCGYEKPDDIKSTSSRLWLKFVSDGSINKAGFAVNFFKEVDECSRPNRGGCEQRCLNTLGSYKCSCDPGYELAPDKRRCEAACGGFLTKLNGSITSPGWPKEYPPNKNCIWQLVAPTQYRISLQFDFFETEGNDVCKYDFVEVRSGLTADSKLHGKFCGSEKPEVITSQYNNMRVEFKSDNTVSKKGFKAHFFSDKDECSKDNGGCQQDCVNTFGSYECQCRSGFVLHDNKHDCKEAGCDHKVTSTSGTITSPNWPDKYPSKKECTWAISSTPGHRVKLTFMEMDIESQPECAYDHLEVFDGRDAKAPVLGRFCGSKKPEPVLATGSRMFLRFYSDNSVQRKGFQASHATECGGQVRADVKTKDLYSHAQFGDNNYPGGVDCEWVIVAEEGYGVELVFQTFEVEEETDCGYDYMELFDGYDSTAPRLGRYCGSGPPEEVYSAGDSVLVKFHSDDTITKKGFHLRYTSTKFQDTLHSRK</t>
  </si>
  <si>
    <t>P13612</t>
  </si>
  <si>
    <t>YIVLFYNMSLDVNRKAESPPRFYFSSNGTSDVITGSIQVSSREANCRTHQAFMRKDVRDILTPIQIEAAYHLGPHVISKRSTEEFPPLQPILQQKKEKDIMKKTINFARFCAHENCSADLQVSAKIGFLKPHENKTYLAVGSMKTLMLNVSLFNAGDDAY</t>
  </si>
  <si>
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</si>
  <si>
    <t>P14200</t>
  </si>
  <si>
    <t>KNDESGFMKDDDDKTTKNTGSKQNLVTHGLPLSLAVKPYLALKGPAVFPAENGVQNTESTQEKREIGDEENSAKFPIGRRDFDMLRCMLGRVYRPCWQV-------------------------------------------------------------</t>
  </si>
  <si>
    <t>MAKMSLSSYMLMLAFSLFSHGILLSASKSIRNVEDDIVFNTFRMGKAFQKEDTAERSVVAPSLEGYKNDESGFMKDDDDKTTKNTGSKQNLVTHGLPLSLAVKPYLALKGPAVFPAENGVQNTESTQEKREIGDEENSAKFPIGRRDFDMLRCMLGRVYRPCWQV</t>
  </si>
  <si>
    <t>P20783</t>
  </si>
  <si>
    <t>YQSTLPKAEAPREPERGGPAKSAFQPVIAMDTELLRQQRRYNSPRVLLSDSTPLEPPPLYLMEDYVGSPVVANRTSRRKRYAEHKSHRGEYSVCDSESLWVTDKSSAIDIRGHQVTVLGEIKTGNSPVKQYFYETRCKEARPVKNGCRGIDDKHWNSQCK</t>
  </si>
  <si>
    <t>MSILFYVIFLAYLRGIQGNNMDQRSLPEDSLNSLIIKLIQADILKNKLSKQMVDVKENYQSTLPKAEAPREPERGGPAKSAFQPVIAMDTELLRQQRRYNSPRVLLSDSTPLEPPPLYLMEDYVGSPVVANRTSRRKRYAEHKSHRGEYSVCDSESLWVTDKSSAIDIRGHQVTVLGEIKTGNSPVKQYFYETRCKEARPVKNGCRGIDDKHWNSQCKTSQTYVRALTSENNKLVGWRWIRIDTSCVCALSRKIGRT</t>
  </si>
  <si>
    <t>P21754</t>
  </si>
  <si>
    <t>DSRNMIYITCHLKVTLAEQDPDELNKACSFSKPSNSWFPVEGSADICQCCNKGDCGTPSHSRRQPHVMSQWSRSASRNRRHVTEEADVTVGPLIFLDRRGDHEVEQWALPSDTSVVLLGVGLAVVVSLTLTAVILVLTRRCRTASHPVSASE--------</t>
  </si>
  <si>
    <t>MELSYRLFICLLLWGSTELCYPQPLWLLQGGASHPETSVQPVLVECQEATL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VVLLGVGLAVVVSLTLTAVILVLTRRCRTASHPVSASE</t>
  </si>
  <si>
    <t>P23188</t>
  </si>
  <si>
    <t>MELRSWLLWVVAAAGAVVLLAADAQGQKIFTNTWAVHIPGGPAVADRVAQKHGFHNLGQIFGDYYHFWHRAVTKRSLSPHRPRHSRLQREPQVKWLEQQVAKRRAKRDVYQEPTDPKFPQQWYLSGVTQRDLNVKEAWAQGFTGHGIVVSILDDGIEKNHPDLAGNYDPGASFDVNDQDPDPQPRYTQMNDNRHGTRCAGEVAAVANNGVCGVGVAYNARIGGVRMLDGEVTDAVEARSLGLNPNHIHIYSASWGPEDDGKTVDGPARLAEEAFFRGVSQGRGGLGSIFVWASGNGGREHDSCNCDGYTNSIYTLSISSATQFGNVPWYSEACSSTLATTYSSGNQNEKQIVTTDLRQKCTESHTGTSASAPLAAGIIALTLEANKNLTWRDMQHLVVQTSKPAHLNADDWATNGVGRKVSHSYGYGLLDAGAMVALAQNWTTVAPQRKCIVEILVEPKDIGKRLEVRKAVTACLGEPNHITRLEHVQARLTLSYNRRGDLAIHLISPMGTRSTLLAARPHDYSADGFNDWAFMTTHSWDEDPAGEWVLEIENTSEANNYGTLTKFTLVLYGTAPEGLSTPPESSGCKTLTSSQACVVCEEGYSLHQKSCVQHCPPGFIPQVLDTHYSTENDVEIIRASVCTPCHASCATCQGPAPTDCLSCPSHASLDPVEQTCSRQSQSSRESRPQQQPPALRPEVEMEPRLQAGLASHLPEVLAGLSCLIIVLIFGIVFLFLHRCSGFSFRGVKVYTMDRGLISYKGLPPEAWQEECPSDSEEDEGRGERTAFIKDQSAL</t>
  </si>
  <si>
    <t>QGQKIFTNTWAVHIPGGPAVADRVAQKHGFHNLGQIFGDYYHFWHRAVTKRSLSPHRPRHSRLQREPQVKWLEQQVAKRRAKRDVYQEPTDPKFPQQWYLSGVTQRDLNVKEAWAQGFTGHGIVVSILDDGIEKNHPDLAGNYDPGASFDVNDQDPDPQP</t>
  </si>
  <si>
    <t>KIFTNTWAVHIPGGPAVADRVAQKHGFHNLGQIFGDYYHFWHRAVTKRSLSPHRPRHSRLQREPQVKWLEQQVAKRRAKRDVYQEPTDPKFPQQWYLSGVTQRDLNVKEAWAQGFTGHGIVVSILDDGIEKNHPDLAGNYDPGASFDVNDQDPDPQPRYT</t>
  </si>
  <si>
    <t>P23229</t>
  </si>
  <si>
    <t>EDEVGSLIEYEFRVINLGKPLTNLGTATLNIQWPKEISNGKWLLYLVKVESKGLEKVTCEPQKEINSLNLTESHNSRKKREITEKQIDDNRKFSLFAERKYQTLNCSVNVNCVNIRCPLRGLDSKASLILRSRLWNSTFLEEYSKLNYLDILMRAFIDVT</t>
  </si>
  <si>
    <t>MAAAGQLCLLYLSAGLLSRLGAAFNLDTREDNVIRKYGDPGSLFGFSLAMHWQLQPEDKRLLLVGAPRAEALPLQRANRTGGLYSCDITARGPCTRIEFDNDADPTSESKEDQWMGVTVQSQGPGGKVVTCAHRYEKRQHVNTKQESRDIFGRCYVLSQNLRIEDDMDGGDWSFCDGRLRGHEKFGSCQQGVAATFTKDFHYIVFGAPGTYNWKGIVRVEQKNNTFFDMNIFEDGPYEVGGETEHDESLVPVPANSYLGLLFLTSVSYTDPDQFVYKTRPPREQPDTFPDVMMNSYLGFSLDSGKGIVSKDEITFVSGAPRANHSGAVVLLKRDMKSAHLLPEHIFDGEGLASSFGYDVAVVDLNKDGWQDIVIGAPQYFDRDGEVGGAVYVYMNQQGRWNNVKPIRLNGTKDSMFGIAVKNIGDINQDGYPDIAVGAPYDDLGKVFIYHGSANGINTKPTQVLKGISPYFGYSIAGNMDLDRNSYPDVAVGSLSDSVTIFRSRPVINIQKTITVTPNRIDLRQKTACGAPSGICLQVKSCFEYTANPAGYNPSISIVGTLEAEKERRKSGLSSRVQFRNQGSEPKYTQELTLKRQKQKVCMEETLWLQDNIRDKLRPIPITASVEIQEPSSRRRVNSLPEVLPILNSDEPKTAHIDVHFLKEGCGDDNVCNSNLKLEYKFCTREGNQDKFSYLPIQKGVPELVLKDQKDIALEITVTNSPSNPRNPTKDGDDAHEAKLIATFPDTLTYSAYRELRAFPEKQLSCVANQNGSQADCELGNPFKRNSNVTFYLVLSTTEVTFDTPDLDINLKLETTSNQDNLAPITAKAKVVIELLLSVSGVAKPSQVYFGGTVVGEQAMKSEDEVGSLIEYEFRVINLGKPLTNLGTATLNIQWPKEISNGKWLLYLVKVESKGLEKVTCEPQKEINSLNLTESHNSRKKREITEKQIDDNRKFSLFAERKYQTLNCSVNVNCVNIRCPLRGLDSKASLILRSRLWNSTFLEEYSKLNYLDILMRAFIDVTAAAENIRLPNAGTQVRVTVFPSKTVAQYSGVPWWIILVAILAGILMLALLVFILWKCGFFKRSRYDDSVPRYHAVRIRKEEREIKDEKYIDNLEKKQWITKWNENESYS</t>
  </si>
  <si>
    <t>P23377</t>
  </si>
  <si>
    <t>MELRPWLLWVVAAAGALVLLAAEARGQKIFTNTWAVHISGGPAVADSVARKHGFHNLGQIFGDYYHFWHRAVTKRSLSPHRPRHSRLQRVPQVKWLEQQVAKQRAKRDVYQEPTDPKFPQQWYLSGVTQRDLNVKEAWAQGFTGR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EILAEPKDIGKRLEVRKTVTACLGEPNHISRLEHVQARLTLSYNRRGDLAIHLISPMGTRSTLLAARPHDYSADGFNDWAFMTTHSWDEDPSGEWVLEIENTSEANNYGTLTKFTLVLYGTASEGLSAPPESSGCKTLTSSQACVVCEEGFSLHQKSCVQRCPPGFTPQVLDTHYSTENDVEIIRASVCTPCHASCATCQGPAPTDCLSCPSHASLDPVEQTCSRQSQSSRESRPQQPPPALRPEVEVEPRLRAGLASHLPEVLAGLSCLIIALIFGIVFLFLHRCSGFSFRGVKVYTMDRGLISYKGLPPEAWQEECPSDSEEDEGRGERTAFIKDQSAL</t>
  </si>
  <si>
    <t>RGQKIFTNTWAVHISGGPAVADSVARKHGFHNLGQIFGDYYHFWHRAVTKRSLSPHRPRHSRLQRVPQVKWLEQQVAKQRAKRDVYQEPTDPKFPQQWYLSGVTQRDLNVKEAWAQGFTGRGIVVSILDDGIEKNHPDLAGNYDPGASFDVNDQDPDPQP</t>
  </si>
  <si>
    <t>P23560</t>
  </si>
  <si>
    <t>PKAGSRGLTSLADTFEHVIEELLDEDQKVRPNEENNKDADLYTSRVMLSSQVPLEPPLLFLLEEYKNYLDAANMSMRVRRHSDPARRGELSVCDSISEWVTAADKKTAVDMSGGTVTVLEKVPVSKGQLKQYFYETKCNPMGYTKEGCRGIDKRHWNSQC</t>
  </si>
  <si>
    <t>MTILFLTMVISYFGCMKAAPMKEANIRGQGGLAYPGVRTHGTLESVNGPKAGSRGLTSLADTFEHVIEELLDEDQKVRPNEENNKDADLYTSRVMLSSQVPLEPPLLFLLEEYKNYLDAANMSMRVRRHSDPARRGELSVCDSISEWVTAADKKTAVDMSGGTVTVLEKVPVSKGQLKQYFYETKCNPMGYTKEGCRGIDKRHWNSQCRTTQSYVRALTMDSKKRIGWRFIRIDTSCVCTLTIKRGR</t>
  </si>
  <si>
    <t>P24347</t>
  </si>
  <si>
    <t>PMLLLLLQPPPLLARALPPDAHHLHAERRGPQPWHAALPSSPAPAPATQEAPRPASSLRPPRCGVPDPSDGLSARNRQKRFVLSGGRWEKTDLTYRILRFPWQLVQEQVRQTMAEALKVWSDVTPLTFTEVHEGRADIMIDFARYWHGDDLPFDGPGGIL</t>
  </si>
  <si>
    <t>MAPAAWLRSAAARALLPPMLLLLLQPPPLLARALPPDAHHLHAERRGPQPWHAALPSSPAPAPATQEAPRPASSLRPPRCGVPDPSDGLSARNRQKRFVLSGGRWEKTDLTYRILRFPWQLVQEQVRQTMAEALKVWSDVTPLTFTEVHEGRADIMIDFARYWHGDDLPFDGPGGILAHAFFPKTHREGDVHFDYDETWTIGDDQGTDLLQVAAHEFGHVLGLQHTTAAKALMSAFYTFRYPLSLSPDDCRGVQHLYGQPWPTVTSRTPALGPQAGIDTNEIAPLEPDAPPDACEASFDAVSTIRGELFFFKAGFVWRLRGGQLQPGYPALASRHWQGLPSPVDAAFEDAQGHIWFFQGAQYWVYDGEKPVLGPAPLTELGLVRFPVHAALVWGPEKNKIYFFRGRDYWRFHPSTRRVDSPVPRRATDWRGVPSEIDAAFQDADGYAYFLRGRLYWKFDPVKVKALEGFPRLVGPDFFGCAEPANTFL</t>
  </si>
  <si>
    <t>P26006</t>
  </si>
  <si>
    <t>KYEFQVGPMGEGLVGLGTLVLGLEWPYEVSNGKWLLYPTEITVHGNGSWPCRPPGDLINPLNLTLSDPGDRPSSPQRRRRQLDPGGGQGPPPVTLAAAKKAKSETVLTCATGRAHCVWLECPIPDAPVVTNVTVKARVWNSTFIEDYRDFDRVRVNGWAT</t>
  </si>
  <si>
    <t>MGPGPSRAPRAPRLMLCALALMVAAGGCVVSAFNLDTRFLVVKEAGNPGSLFGYSVALHRQTERQQRYLLLAGAPRELAVPDGYTNRTGAVYLCPLTAHKDDCERMNITVKNDPGHHIIEDMWLGVTVASQGPAGRVLVCAHRYTQVLWSGSEDQRRMVGKCYVRGNDLELDSSDDWQTYHNEMCNSNTDYLETGMCQLGTSGGFTQNTVYFGAPGAYNWKGNSYMIQRKEWDLSEYSYKDPEDQGNLYIGYTMQVGSFILHPKNITIVTGAPRHRHMGAVFLLSQEAGGDLRRRQVLEGSQVGAYFGSAIALADLNNDGWQDLLVGAPYYFERKEEVGGAIYVFMNQAGTSFPAHPSLLLHGPSGSAFGLSVASIGDINQDGFQDIAVGAPFEGLGKVYIYHSSSKGLLRQPQQVIHGEKLGLPGLATFGYSLSGQMDVDENFYPDLLVGSLSDHIVLLRARPVINIVHKTLVPRPAVLDPALCTATSCVQVELCFAYNQSAGNPNYRRNITLAYTLEADRDRRPPRLRFAGSESAVFHGFFSMPEMRCQKLELLLMDNLRDKLRPIIISMNYSLPLRMPDRPRLGLRSLDAYPILNQAQALENHTEVQFQKECGPDNKCESNLQMRAAFVSEQQQKLSRLQYSRDVRKLLLSINVTNTRTSERSGEDAHEALLTLVVPPALLLSSVRPPGACQANETIFCELGNPFKRNQRMELLIAFEVIGVTLHTRDLQVQLQLSTSSHQDNLWPMILTLLVDYTLQTSLSMVNHRLQSFFGGTVMGESGMKTVEDVGSPLKYEFQVGPMGEGLVGLGTLVLGLEWPYEVSNGKWLLYPTEITVHGNGSWPCRPPGDLINPLNLTLSDPGDRPSSPQRRRRQLDPGGGQGPPPVTLAAAKKAKSETVLTCATGRAHCVWLECPIPDAPVVTNVTVKARVWNSTFIEDYRDFDRVRVNGWATLFLRTSIPTINMENKTTWFSVDIDSELVEELPAEIELWLVLVAVGAGLLLLGLIILLLWKCGFFKRARTRALYEAKRQKAEMKSQPSETERLTDDY</t>
  </si>
  <si>
    <t>P29119</t>
  </si>
  <si>
    <t>KVYTNTWAAHISGGSAEADRLCKKYGFINHGLIFEDHYHFSHRAVMKRSLTPKRTRQVLLKREPQVHWLEQQVAKKRKKRDIYTDPTDPKFMQQWYLLDTNRHDLHVKEAWEQGFTGKGIVVSILDDGIEKNHPDLQANYDPAASYDVNDQDPDPQPRYT</t>
  </si>
  <si>
    <t>MDLSPSLLLMLWTLLSVLVEEITGQKVYTNTWAAHISGGSAEADRLCKKYGFINHGLIFEDHYHFSHRAVMKRSLTPKRTRQVLLKREPQVHWLEQQVAKKRKKRDIYTDPTDPKFMQQWYLLDTNRHDLHVKEAWEQGFTGKGIVVSILDDGIEKNHPDLQANYDPAASYDVNDQDPDPQPRYTQLNDNRHGTRCAGEVAAVANNGICGVGIAYNANIGGVRMLDGEVTDAVEARSLGLNPNHIHIYSASWGPEDDGKTVDGPAKLAEEAFYRGVTQGRGGLGSIYVWASGNGGREHDSCNCDGYTNSIYTLSISSTTQMGNVPWYSEACSSTLATTYSSGNQNEKQIVTTDLRQKCTDSHTGTSASAPLAAGIIALALEANKNLTWRDMQHLVVQTSNPAGLNANDWITNGVGRKVSHSYGYGLLDAGAMVAMAKTWVTVGPQRKYVIDILSEPKDIGKALEVRRKVEPCAGMSNYISTLEHVQARLSLSYNCRGDLAIYLTSPMGTRSCLLAPRPHDYSADGFNDWSFMTTHSWDEDPAGEWVLEIENVSNNNNYGTLTQFVLVLYGTASEGLSRKFDGDGSRNVASSQSCIVCEEGYFLHQKSCIKSCPQGFTSSIQNIHYTLDNNIEPLLVNVCVPCHVSCATCKGTTINDCLTCPAHSHYNLLDYSCTHQTQRSRESPTLKDSSHDYVARTSNLPFIVAILSCLFIIVVFGSIFLFLQLRSGGVLGRKRLYMLDSGIISYKGIPSGAWQEEGFSESETEETAAHSERTAFLKQQSTL</t>
  </si>
  <si>
    <t>P29788</t>
  </si>
  <si>
    <t>FWGRSSDGAREPQFISRNWHGVPGKVDAAMAGRIYVTGSLSHSAQAKKQKSKRRSRKRYRSRRGRGHRRSQSSNSRRSSRSIWFSLFSSEESGLGTYNNYDYDMDWLVPATCEPIQSVYFFSGDKYYRVNLRTRRVDSVNPPYPRSIAQYWLGCPTSEK-</t>
  </si>
  <si>
    <t>MAPLRPFFILALVAWVSLADQESCKGRCTQGFMASKKCQCDELCTYYQSCCADYMEQCKPQVTRGDVFTMPEDDYWSYDYVEEPKNNTNTGVQPENTSPPGDLNPRTDGTLKPTAFLDPEEQPSTPAPKVEQQEEILRPDTTDQGTPEFPEEELCSGKPFDAFTDLKNGSLFAFRGQYCYELDETAVRPGYPKLIQDVWGIEGPIDAAFTRINCQGKTYLFKGSQYWRFEDGVLDPGYPRNISEGFSGIPDNVDAAFALPAHRYSGRERVYFFKGKQYWEYEFQQQPSQEECEGSSLSAVFEHFALLQRDSWENIFELLFWGRSSDGAREPQFISRNWHGVPGKVDAAMAGRIYVTGSLSHSAQAKKQKSKRRSRKRYRSRRGRGHRRSQSSNSRRSSRSIWFSLFSSEESGLGTYNNYDYDMDWLVPATCEPIQSVYFFSGDKYYRVNLRTRRVDSVNPPYPRSIAQYWLGCPTSEK</t>
  </si>
  <si>
    <t>P29990</t>
  </si>
  <si>
    <t>MIVSRQEKGKSLLFKTEDGVNMCTLMAMDLGELCEDTITYKCPLLRQNEPEDIDCWCNSTSTWVTYGTCTTMGEHRRQKRSVALVPHVGMGLETRTETWMSSEGAWKHVQRIETWILRHPGFTMMAAILAYTIGTTHFQRALIFILLTAVTPSMTMRCIG</t>
  </si>
  <si>
    <t>MNDQRKKAKNTPFNMLKRERNRVSTVQQLTKRFSLGMLQGRGPLKLYMALVAFLRFLTIPPTAGILKRWGTIKKSKAINVLRGFRKEIGRMLNILNRRRRSAGMIIMLIPTVMAFHLTTRNGEPHMIVSRQEKGKSLLFKTEDGVNMCTLMAMDLGELCEDTITYKCPLLRQNEPEDIDCWCNSTSTWVTYGTCTTMGEHRRQKRSVALVPHVGMGLETRTETWMSSEGAWKHVQRIETWILRHPGFTMMAAILAYTIGTTHFQRALIFILLTAVTPSMTMRCIGMSNRDFVEGVSGGSWVDIVLEHGSCVTTMAKNKPTLDFELIKTEAKQPATLRKYCIEAKLTNTTTESRCPTQGEPSLNEEQDKRFVCKHSMVDRGWGNGCGLFGKGGIVTCAMFRCKKNMEGKVVQPENLEYTIVITPHSGEEHAVGNDTGKHGKEIKITPQSSTTEAELTGYGTVTMECSPRTGLDFNEM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TLVLVGIVTLYLGVMVQADSGCVVSWKNKELKCGSGIFITDNVHTWTEQYKFQPESPSKLASAIQKAHEEGICGIRSVTRLENLMWKQITPELNHILSENEVKLTIMTGDIKGIMQAGKRSLRPQPTELKYSWKTWGKAKMLSTESHNQTFLIDGPETAECPNTNRAWNSLEVEDYGFGVFTTNIWLKLKEKQDVFCDSKLMSAAIKDNRAVHADMGYWIESALNDTWKIEKASFIEVKNCHWPKSHTLWSNGVLESEMIIPKNLAGPVSQHNYRPGYHTQITGPWHLGKLEMDFDFCDGTTVVVTEDCGNRGPSLRTTTASGKLITEWCCRSCTLPPLRYRGEDGCWYGMEIRPLKEKEENLVNSLVTAGHGQVDNFSLGVLGMALFLEEMLRTRVGTKHAILLVAVSFVTLIIGNMSFRDLGRVMVMVGATMTDDIGMGVTYLALLAAFKVRPTFAAGLLLRKLTSKALMMTTIGIVLSSQSTTPETILELTDALALGMMVLKMVRNMEKYQLAVTIMAILCVPNAVILQNAWKVSCTILAVVSVSPLFLTSSQQKTDWIPLALTIKGLNPTAIFLTTLSRTSKKRSWPLNEAIMAVGMVSILASSLLKNDIPMTGPLVAGGPLTVCYVLTGRSADLELERAADVKWEDQAEISGSSPILSITISEDGSMSIKNEEEEQTLTILIRTGLLVISGLFPVSIPITAAAWYLWEVKKQRAGVLWDVPSPPPMGKAELEDGAYRIKQKGILGYSQIGAGVYKEGTFHTMWHVTRGAVLMHKGKRIEPSWADVKKDLISYGGGWKLEGEWKEGEEVQVLALEPGKNPRAVQTKPGLFKTNAGTIGAVSLDFSPGTSGSPIIDKKGKVVGLYGNGVVTRSGAYVSAIAQTEKSIEDNPEIEDDIFRKRRLTIMDLHPGAGKTKRYLPAIVREAIKRGLRTLILAPTRVVAAEMEEALRGLPIRYQTPAIRAEHTGREIVDLMCHATFTMRLLSPVRVPNYNLIIMDEAHFTDPASIAARGYISTRVEMGEAAGIFMTATPPGSRDPFPQSNAPIIDEEREIPERSWNSGHEWVTDFKGKTVWFVPSIKAGNDIAACLSKNGKKVIQLSRKTFDSEYAKTRTNDWDFVVTTDISEMGANFKAERVIDPRRCMKPVILTDGEERVILAGPMPVTHSSAAQRRGRIGRNPKNENDQYIYMGEPLENDEDCAHWKEAKMLLDNINTPEGIIPSMFEPEREKVDAIDGEYRLRGEARTTFVDLMRRGDLPVWLAYRVAAEGINYADRRWCFDGVKNNQILEENVEVEIWTKEGERKKLKPRWLDARIYSDPLALKEFKEFAAGRKSLTLNLITEMGRLPTFMTQKARDALDNLAVLHTAEAGGRAYNHALSELPETLETLLLLTLLATVTGGILLFLMSGRGIGKMTLGMCCIITASILLWYAQIQPHWIAASIILEFFLIVLLIPEPEKQRTPQDNQLTYVVIAILTVVAATMANEMGFLEKTKKDLGLGSIATQQPESNILDIDLRPASAWTLYAVATTFVTPMLRHSIENSSVNVSLTAIANQATVLMGLGKGWPLSKMDIGVPLLAIGCYSQVNPTTLTAALFLLVAHYAIIGPALQAKASREAQKRAAAGIMKNPTVDGITVIDLDPIPYDPKFEKQLGQVMLLVLCVTQVLMMRTTWALCEVLTLATGPISTLWEGNPGRFWNTTIAVSMANIFRGSYLAGAGLLFSIMKNTTNARRGTGNIGETLGEKWKSRLNALGKSEFQIYKKSGIQEVDRTLAKEGIKRGETDHHAVSRGSAKLRWFVERNMVTPEGKVVDLGCGRGGWSYYCGGLKNVREVKGLTKGGPGHEEPIPMSTYGWNLVRLQSGVDVFFIPPEKCDTLLCDIGESSPNPTVEAGRTLRVLNLVENWLNNNTQFCIKVLNPYMPSVIEKMEALQRKYGGALVRNPLSRNSTHEMYWVSNASGNIVSSVNMISRMLINRFTMRYKKATYEPDVDLGSGTRNIGIESEIPNLDIIGKRIEKIKQEHETSWHYDQDHPYKTWAYHGSYETKQTGSASSMVNGVFRLLTKPWDVVPMVTQMAMTDTTPFGQQRVFKEKVDTRTQEPKEGTKKLMKITAEWLWKELGKKKTPRMCTREEFTRKVRSNAALGAIFTDENKWKSAREAVEDSRFWELVDKERNLHLEGKCETCVYNIMGKREKKLGEFGKAKGSRAIWYMWLGARFLEFEALGFLNEDHWFSRENSLSGVEGEGLHKLGYILRDVSKKEGGAMYADDTAGWDTRITLEDLKNEAMVTNHMEGEHKKLAEAIFKLTYQNKVVRVQRPTPRGTVMDIISRRDQRGSGQVGTYGLNTFTNMEAQLIRQMEGEGVFKSIQHLTITEEIAVQNWLARVGRERLSRMAISGDDCVVKPLDDRLPSALTALNDTGKIRKDIQQWEPSRGWNDWTQVPFCSHHFHELIMKDGRVLVVPCRNQDELIGRARISQGAGWSLRETACLGKSYDQMWSLMYFHRRDLRLAANAICSAVPSHWVPTSRTTWSIHAKHEWMTTEDMLTVWNRVWIQENPWMEDKTPVESWEEIPYLGKREDQWCGSLIGLTSRATWAKNIQAAINQVRSLIGNEEYTDYMPSMKRFRREEEEAGVLW</t>
  </si>
  <si>
    <t>P30885</t>
  </si>
  <si>
    <t>FHRINIYEVMKPITANGHMINRLLDTRVIHHNVTQWESFDVSPAIMRWTLDKQINHGLAIEVIHLNQTKTYQGKHVRISRSLLPQKDADWSQMRPLLITFSHDGRGHALTRRSKRSPKQQRPRKKNKHCRRHSLYVDFSDVGWNDWIVAPPGYQAFYCHG</t>
  </si>
  <si>
    <t>MIPGNRMLMVILLSQVLLGGTNYASLIPDTGKKKVAADIQGGGRRSPQSNELLRDFEVTLLQMFGLRKRPQPSKDVVVPAYMRDLYRLQSAEEEDELHDISMEYPETPTSRANTVRSFHHEEHLENLPGTEENGNFRFVFNLSSIPENEVISSAELRLYREQIDHGPAWDEGFHRINIYEVMKPITANGHMINRLLDTRVIHHNVTQWESFDVSPAIMRWTLDKQINHGLAIEVIHLNQTKTYQGKHVRISRSLLPQKDADWSQMRPLLITFSHDGRGHALTRRSKRSPKQQRPRKKNKHCRRHSLYVDFSDVGWNDWIVAPPGYQAFYCHGDCPFPLADHLNSTNHAIVQTLVNSVNSSIPKACCVPTELSAISMLYLDEYDKVVLKNYQEMVVEGCGCR</t>
  </si>
  <si>
    <t>WESFDVSPAIMRWTLDKQINHGLAIEVIHLNQTKTYQGKHVRISRSLLPQKDADWSQMRPLLITFSHDGRGHALTRRSKRSPKQQRPRKKNKHCRRHSLYVDFSDVGWNDWIVAPPGYQAFYCHGDCPFPLADHLNSTNHAIVQTLVNSVNSSIPKACCV</t>
  </si>
  <si>
    <t>P32926</t>
  </si>
  <si>
    <t>MMGLFPRTTGALAIFVVVILVHGELRIETKGQYDEEEMTMQQAKRRQKREWVKFAKPCREGEDNSKRNPIAKITSDYQATQKITYRISGVGIDQPPFGIFVVDKNTGDINITAIVDREETPSFLITCRALNAQGLDVEKPLILTVKILDINDNPPVFSQQIFMGEIEENSASNSLVMILNATDADEPNHLNSKIAFKIVSQEPAGTPMFLLSRNTGEVRTLTNSLDREQASSYRLVVSGADKDGEGLSTQCECNIKVKDVNDNFPMFRDSQYSARIEENILSSELLRFQVTDLDEEYTDNWLAVYFFTSGNEGNWFEIQTDPRTNEGILKVVKALDYEQLQSVKLSIAVKNKAEFHQSVISRYRVQSTPVTIQVINVREGIAFRPASKTFTVQKGISSKKLVDYILGTYQAIDEDTNKAASNVKYVMGRNDGGYLMIDSKTAEIKFVKNMNRDSTFIVNKTITAEVLAIDEYTGKTSTGTVYVRVPDFNDNCPTAVLEKDAVCSSSPSVVVSARTLNNRYTGPYTFALEDQPVKLPAVWSITTLNATSALLRAQEQIPPGVYHISLVLTDSQNNRCEMPRSLTLEVCQCDNRGICGTSYPTTSPGTRYGRPHSGRLGPAAIGLLLLGLLLLLLAPLLLLTCDCGAGSTGGVTGGFIPVPDGSEGTIHQWGIEGAHPEDKEITNICVPPVTANGADFMESSEVCTNTYARGTAVEGTSGMEMTTKLGAATESGGAAGFATGTVSGAASGFGAATGVGICSSGQSGTMRTRHSTGGTNKDYADGAISMNFLDSYFSQKAFACAEEDDGQEANDCLLIYDNEGADATGSPVGSVGCCSFIADDLDDSFLDSLGPKFKKLAEISLGVDGEGKEVQPPSKDSGYGIESCGHPIEVQQTGFVKCQTLSGSQGASALSTSGSVQPAVSIPDPLQHGNYLVTETYSASGSLVQPSTAGFDPLLTQNVIVTERVICPISSVPGNLAGPTQLRGSHTMLCTEDPCSRLI</t>
  </si>
  <si>
    <t>P34130</t>
  </si>
  <si>
    <t>MLPLPSCSLPILLLFLLPSVPIESQPPPSTLPPFLAPEWDLLSPRVVLSRGAPAGPPLLFLLEAGAFRESAGAPANRSRRGVSETAPASRRGELAVCDAVSGWVTDRRTAVDLRGREVEVLGEVPAAGGSPLRQYFFETRCKADNAEEGGPGAGGGGCRG</t>
  </si>
  <si>
    <t>MLPLPSCSLPILLLFLLPSVPIESQPPPSTLPPFLAPEWDLLSPRVVLSRGAPAGPPLLFLLEAGAFRESAGAPANRSRRGVSETAPASRRGELAVCDAVSGWVTDRRTAVDLRGREVEVLGEVPAAGGSPLRQYFFETRCKADNAEEGGPGAGGGGCRGVDRRHWVSECKAKQSYVRALTADAQGRVGWRWIRIDTACVCTLLSRTGRA</t>
  </si>
  <si>
    <t>P35555</t>
  </si>
  <si>
    <t>CGSAQAPCSYGCSNTEGGYLCGCPPGYFRIGQGHCVSGMGMGRGNPEPPVSGEMDDNSLSPEACYECKINGYPKRGRKRRSTNETDASNIEDQSETEANVSLASWDVEKTAIFAFNISHVSNKVRILELLPALTTLTNHNRYLIESGNEDGFFKINQKEG</t>
  </si>
  <si>
    <t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Y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DENECQTKPGICENGRCLNTRGSYTCECNDGFTASPNQDECLDNREGYCFTEVLQNMCQIGSSNRNPVTKSECCCDGGRGWGPHCEICPFQGTVAFKKLCPHGRGFMTNGADIDECKVIHDVCRNGECVNDRGSYHCICKTGYTPDITGTSCVDLNECNQAPKPCNFICKNTEGSYQCSCPKGYILQEDGRSCKDLDECATKQHNCQFLCVNTIGGFTCKCPPGFTQHHTSCIDNNECTSDINLCGSKGICQNTPGSFTCECQRGFSLDQTGSSCEDVDECEGNHRCQHGCQNIIGGYRCSCPQGYLQHYQWNQCVDENECLSAHICGGASCHNTLGSYKCMCPAGFQYEQFSGGCQDINECGSAQAPCSYGCSNTEGGYLCGCPPGYFRIGQGHCVSGMGMGRGNPEPPVSGEMDDNSLSPEACYECKINGYPKRGRKRRSTNETDASNIEDQSETEANVSLASWDVEKTAIFAFNISHVSNKVRILELLPALTTLTNHNRYLIESGNEDGFFKINQKEGISYLHFTKKKPVAGTYSLQISSTPLYKKKELNQLEDKYDKDYLSGELGDNLKMKIQVLLH</t>
  </si>
  <si>
    <t>P35822</t>
  </si>
  <si>
    <t>TTYQFFIRASTVKGFGPATAINVTTNISAPSLPDYEGVDASLNETATTITVLLRPAQAKGAPISAYQIVVEQLHPHRTKREAGAMECYQVPVTYQNALSGGAPYYFAAELPPGNLPEPAPFTVGDNRTYKGFWNPPLAPRKGYNIYFQAMSSVEKETKTQ</t>
  </si>
  <si>
    <t>MDVAAAALPAFVALWLLYPWPLLGSALGQFSAGGCTFDDGPGACDYHQDLYDDFEWVHVSAQEPHYLPPEMPQGSYMVVDSSN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RADCLDMDPKAPQHVVNHLPPYTNVSLKMILTNPEGRKESEETIIQTDEDVPGPVPVKSLQGTSFENKIFLNWKEPLEPNGIITQYEVSYSSIRSFDPAVPVAGPPQTVSNLWNSTHHVFMHLHPGTTYQFFIRASTVKGFGPATAINVTTNISAPSLPDYEGVDASLNETATTITVLLRPAQAKGAPISAYQIVVEQLHPHRTKREAGAMECYQVPVTYQNALSGGAPYYFAAELPPGNLPEPAPFTVGDNRTYKGFWNPPLAPRKGYNIYFQAMSSVEKETKTQCVRIATKAAATEEPEVIPDPAKQTDRVVKIAGISAGILVFILLLLVVIVIVKKSKLAKKRKDAMGNTRQEMTHMVNAMDRSYADQSTLHAEDPLSLTFMDQHNFSPRLPNDPLVPTAVLDENHSATAESSRLLDVPRYLCEGTESPYQTGQLHPAIRVADLLQHINLMKTSDSYGFKEEYESFFEGQSASWDVAKKDQNRAKNRYGNIIAYDHSRVILQPVEDDPSSDYINANYIDIWLYRDGYQRPSHYIATQGPVHETVYDFWRMV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</si>
  <si>
    <t>P43026</t>
  </si>
  <si>
    <t>RNFKNSAQLCLELEAWERGRAVDLRGLGFDRAARQVHEKALFLVFGRTKKRDLFFNEIKARSGQDDKTVYEYLFSQRRKRRAPLATRQGKRPSKNLKARCSRKALHVNFKDMGWDDWIIAPLEYEAFHCEGLCEFPLRSHLEPTNHAVIQTLMNSMDPES</t>
  </si>
  <si>
    <t>MRLPKLLTFLLWYLAWLDLEFICTVLGAPDLGQRPQGTRPGLAKAEAKERPPLARNVFRPGGHSYGGGATNANARAKGGTGQTGGLTQPKKDEPKKLPPRPGGPEPKPGHPPQTRQATARTVTPKGQLPGGKAPPKAGSVPSSFLLKKAREPGPPREPKEPFRPPPITPHEYMLSLYRTLSDADRKGGNSSVKLEAGLANTITSFIDKGQDDRGPVVRKQRYVFDISALEKDGLLGAELRILRKKPSDTAKPAAPGGGRAAQLKLSSCPSGRQPAALLDVRSVPGLDGSGWEVFDIWKLFRNFKNSAQLCLELEAWERGRAVDLRGLGFDRAARQVHEKALFLVFGRTKKRDLFFNEIKARSGQDDKTVYEYLFSQRRKRRAPLATRQGKRPSKNLKARCSRKALHVNFKDMGWDDWIIAPLEYEAFHCEGLCEFPLRSHLEPTNHAVIQTLMNSMDPESTPPTCCVPTRLSPISILFIDSANNVVYKQYEDMVVESCGCR</t>
  </si>
  <si>
    <t>NFKNSAQLCLELEAWERGRAVDLRGLGFDRAARQVHEKALFLVFGRTKKRDLFFNEIKARSGQDDKTVYEYLFSQRRKRRAPLATRQGKRPSKNLKARCSRKALHVNFKDMGWDDWIIAPLEYEAFHCEGLCEFPLRSHLEPTNHAVIQTLMNSMDPEST</t>
  </si>
  <si>
    <t>P49000</t>
  </si>
  <si>
    <t>PWAAGLARRVAVELQAAASELRDLPGLPPTAPPLLSRLLALCPNDSRSAGDPLRALLLLKALQGLRAEWRGREGRGRAGRSKGTGTDGLCALRELSVDLRAERSVLIPETYQANNCQGACAWPQSDRNPRYGNHVVLLLKMQARGAALGRLPCCVPTAYT</t>
  </si>
  <si>
    <t>MQGPHLSLLLLLLATMGAVLQADTVEELTNTRGLIFLEDGVWPPSSPPEPLCLVAVRGEGDTSKASLTVVGGLHSYEHAFLEAVQESRWGPQDLATFGVCSTDSQTTLPALQRLGAWLGETGEQQLLVLHLAEVIWEPQLLLKFQEPPPGGASRWEQALLVLYPGPGPQVTVTGAGLQGTQSLCPTRDTRYLVLTVHFPAGAWSGSGLALTLQPSKEGATLTIAQLQAFLFGSDSRCFTRMTPTLVLLPPTGPTPQPAHGQLDTVPFPQPGLSLEPEDLPHSADPFLETLTRLVRALRGPLTRASNTRLALDPGALASFPQGLVNLSDPVALGRLLDGEEPLLLLLSPAAATVGEPMRLHSPTSAPWAAGLARRVAVELQAAASELRDLPGLPPTAPPLLSRLLALCPNDSRSAGDPLRALLLLKALQGLRAEWRGREGRGRAGRSKGTGTDGLCALRELSVDLRAERSVLIPETYQANNCQGACAWPQSDRNPRYGNHVVLLLKMQARGAALGRLPCCVPTAYTGKLLISLSEEHISAHHVPNMVATECGCR</t>
  </si>
  <si>
    <t>P49767</t>
  </si>
  <si>
    <t>TNTFFKPPCVSVYRCGGCCNSEGLQCMNTSTSYLSKTLFEITVPLSQGPKPVTISFANHTSCRCMSKLDVYRQVHSIIRRSLPATLPQCQAANKTCPTNYMWNNHICRCLAQEDFMFSSDAGDDSTDGFHDICGPNKELDEETCQCVCRAGLRPASCGPH</t>
  </si>
  <si>
    <t>MHLLGFFSVACSLLAAALLPGPREAPAAAAAFESGLDLSDAEPDAGEATAYASKDLEEQLRSVSSVDELMTVLYPEYWKMYKCQLRKGGWQHNREQANLNSRTEETIKFAAAHYNTEILKSIDNEWRKTQCMPREVCIDVGKEFGVATNTFFKPPCVSVYRCGGCCNSEGLQCMNTSTSYLSKTLFEITVPLSQGPKPVTISFANHTSCRCMSKLDVYRQVHSIIRRSLPATLPQCQAANKTCPTNYMWNNHICRCLAQEDFMFSSDAGDDSTDGFHDICGPNKELDEETCQCVCRAGLRPASCGPHKELDRNSCQCVCKNKLFPSQCGANREFDENTCQCVCKRTCPRNQPLNPGKCACECTESPQKCLLKGKKFHHQTCSCYRRPCTNRQKACEPGFSYSEEVCRCVPSYWKRPQMS</t>
  </si>
  <si>
    <t>P50281</t>
  </si>
  <si>
    <t>SFSPEAWLQQYGYLPPGDLRTHTQRSPQSLSAAIAAMQKFYGLQVTGKADADTMKAMRRPRCGVPDKFGAEIKANVRRKRYAIQGLKWQHNEITFCIQNYTPKVGEYATYEAIRKAFRVWESATPLRFREVPYAYIREGHEKQADIMIFFAEGFHGDSTP</t>
  </si>
  <si>
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</si>
  <si>
    <t>P51512</t>
  </si>
  <si>
    <t>TEQYFNVEVWLQKYGYLPPTDPRMSVLRSAETMQSALAAMQQFYGINMTGKVDRNTIDWMKKPRCGVPDQTRGSSKFHIRRKRYALTGQKWQHKHITYSIKNVTPKVGDPETRKAIRRAFDVWQNVTPLTFEEVPYSELENGKRDVDITIIFASGFHGDS</t>
  </si>
  <si>
    <t>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</t>
  </si>
  <si>
    <t>P56817</t>
  </si>
  <si>
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</si>
  <si>
    <t>P56818</t>
  </si>
  <si>
    <t>MAPALHWLLLWVGSGMLPAQGTHLGIRLPLRSGLAGPPLGLRLPRETDEESEEPGRRGSFVEMVDNLRGKSGQGYYVEMTVGSPPQTLNILVDTGSSNFAVGAAPHPFLHRYYQRQLSSTYRDLRKGVYVPYTQGKWEGELGTDLVSIPHGPNVTVRANIAAITESDKFFINGSNWEGILGLAYAEIARPDDSLEPFFDSLVKQTHIPNIFSLQLCGAGFPLNQTEALASVGGSMIIGGIDHSLYTGSLWYTPIRREWYYEVIIVRVEINGQDLKMDCKEYNYDKSIVDSGTTNLRLPKKVFEAAVKSIKAASSTEKFPDGFWLGEQLVCWQAGTTPWNIFPVISLYLMGEVTNQSFRITILPQQYLRPVEDVATSQDDCYKFAVSQSSTGTVMGAVIMEGFYVVFDRARKRIGFAVSACHVHDEFRTAAVEGPFVTADMEDCGYNIPQTDESTLMTIAYVMAAICALFMLPLCLMVCQWRCLRCLRHQHDDFADDISLLK</t>
  </si>
  <si>
    <t>P58397</t>
  </si>
  <si>
    <t>CAQRSWLANLSVVAQLLNFGALCYGRQPQPGPVRFPDRRQEHFIKGLPEYHVVGPVRVDASGHFLSYGLHYPITSSRRKRDLDGSEDWVYYRISHEEKDLFFNLTVNQGFLSNSYIMEKRYGNLSHVKMMASSAPLCHLSGTVLQQGTRVGTAALSACHG</t>
  </si>
  <si>
    <t>MPCAQRSWLANLSVVAQLLNFGALCYGRQPQPGPVRFPDRRQEHFIKGLPEYHVVGPVRVDASGHFLSYGLHYPITSSRRKRDLDGSEDWVYYRISHEEKDLFFNLTVNQGFLSNSYIMEKRYGNLSHVKMMASSAPLCHLSGTVLQQGTRVGTAALSACHGLTGFFQLPHGDFFIEPVKKHPLVEGGYHPHIVYRRQKVPETKEPTCGLKDSVNISQKQELWREKWERHNLPSRSLSRRSISKERWVETLVVADTKMIEYHGSENVESYILTIMNMVTGLFHNPSIGNAIHIVVVRLILLEEEEQGLKIVHHAEKTLSSFCKWQKSINPKSDLNPVHHDVAVLLTRKDICAGFNRPCETLGLSHLSGMCQPHRSCNINEDSGLPLAFTIAHELGHSFGIQHDGKENDCEPVGRHPYIMSRQLQYDPTPLTWSKCSEEYITRFLDRGWGFCLDDIPKKKGLKSKVIAPGVIYDVHHQCQLQYGPNATFCQEVENVCQTLWCSVKGFCRSKLDAAADGTQCGEKKWCMAGKCITVGKKPESIPGGWGRWSPWSHCSRTCGAGVQSAERLCNNPEPKFGGKYCTGERKRYRLCNVHPCRSEAPTFRQMQCSEFDTVPYKNELYHWFPIFNPAHPCELYCRPIDGQFSEKMLDAVIDGTPCFEGGNSRNVCINGICKMVGCDYEIDSNATEDRCGVCLGDGSSCQTVRKMFKQKEGSGYVDIGLIPKGARDIRVMEIEGAGNFLAIRSEDPEKYYLNGGFIIQWNGNYKLAGTVFQYDRKGDLEKLMATGPTNESVWIQLLFQVTNPGIKYEYTIQKDGLDNDVEQQMYFWQYGHWTECSVTCGTGIRRQTAHCIKKGRGMVKATFCDPETQPNGRQKKCHEKACPPRWWAGEWEACSATCGPHGEKKRTVLCIQTMVSDEQALPPTDCQHLLKPKTLLSCNRDILCPSDWTVGNWSECSVSCGGGVRIRSVTCAKNHDEPCDVTRKPNSRALCGLQQCPSSRRVLKPNKGTISNGKNPPTLKPVPPPTSRPRMLTTPTGPESMSTSTPAISSPSPTTASKEGDLGGKQWQDSSTQPELSSRYLISTGSTSQPILTSQSLSIQPSEENVSSSDTGPTSEGGLVATTTSGSGLSSSRNPITWPVTPFYNTLTKGPEMEIHSGSGEEREQPEDKDESNPVIWTKIRVPGNDAPVESTEMPLAPPLTPDLSRESWWPPFSTVMEGLLPSQRPTTSETGTPRVEGMVTEKPANTLLPLGGDHQPEPSGKTANRNHLKLPNNMNQTKSSEPVLTEEDATSLITEGFLLNASNYKQLTNGHGSAHWIVGNWSECSTTCGLGAYWRRVECSTQMDSDCAAIQRPDPAKRCHLRPCAGWKVGNWSKCSRNCSGGFKIREIQCVDSRDHRNLRPFHCQFLAGIPPPLSMSCNPEPCEAWQVEPWSQCSRSCGGGVQERGVFCPGGLCDWTKRPTSTMSCNEHLCCHWATGNWDLCSTSCGGGFQKRTVQCVPSEGNKTEDQDQCLCDHKPRPPEFKKCNQQACKKSADLLCTKDKLSASFCQTLKAMKKCSVPTVRAECCFSCPQTHITHTQRQRRQRLLQKSKEL</t>
  </si>
  <si>
    <t>HGLTGFFQLPHGDFFIEPVKKHPLVEGGYHPHIVYRRQKVPETKEPTCGLKDSVNISQKQELWREKWERHNLPSRSLSRRSISKERWVETLVVADTKMIEYHGSENVESYILTIMNMVTGLFHNPSIGNAIHIVVVRLILLEEEEQGLKIVHHAEKTLSS</t>
  </si>
  <si>
    <t>P58459</t>
  </si>
  <si>
    <t>MASACQILRWALALGLGLTFKVTHAFRSQDELLSSLESYEIAFPTRVDHNGAMLAFSPPAFRRQRRGAGATTESRLFYKVAAPSTHFLLNLTRSPRLLAGHVSVEYWTREGLAWQRAARAHCLYAGHLQGQAGSSHVAVSTCGGLHGLIVADDEEYLIEPLQGGPKGHRGPEESGPHVVYKRSSLRHPHLDTACGVRDEKPWKGRPWWLRTLKPPPARPLGNESERGQLGLKRSVSRERYVETLVVADKMMVAYHGRRDVEQYVLAIMNIVAKLFQDSSLGNIVNILVTRLILLTEDQPTLEITHHAGKSLDSFCKWQKSIVSHSGHGNAIPENGVANHDTAVLITRYDICIYKNKPCGTLGLAPVGGMCERERSCSINEDIGLATAFTIAHEIGHTFGMNHDGVGNGCGARGQDPAKLMAAHITMKTNPFVWSSCSRDYITSFLDSGLGLCLNNRPPRQDFVYPTVAPGQAYDADEQCRFQHGVKSRQCKYGEVCSELWCLSKSNRCITNSIPAAEGTLCQTHTIDKGWCYKRVCVPFGSRPEGVDGAWGPWTPWGDCSRSCGGGVSSSSRHCDSPRPTIGGKYCLGERRRHRSCNTNDCPPGSQDFREMQCSEFDSVPFRGKFYTWKTYRGGGVKACSLTCLAEGFNFYTERAAAVVDGTPCRPDTVDICVSGECKHVGCDRVLGSDLREDKCRVCGGDGSACETIEGVFSPALPGTGYEDVVWIPKGSVHIFIQDLNLSLSHLALKGDQESLLLEGLPGTPQPHRLPLAGTTFHLRQGPDQAQSLEALGPINASLIIMVLAQAELPALHYRFNAPIARDALPPYSWHYAPWTKCSAQCAGGSQVQVVECRNQLDSSAVAPHYCSGHSKLPKRQRACNTEPCPPDWVVGNWSRCSRSCDAGVRSRSVVCQRRVSAAEEKALDDSACPQPRPPVLEACQGPMCPPEWATLDWSECTPSCGPGLRHRVVLCKSADQRSTLPPGHCLPAAKPPSTMRCNLRRCPPARWVTSEWGECSTQCGLGQQQRTVRCTSHTGQPSRECTEALRPSTMQQCEAKCDSVVPPGDGPEECKDVNKVAYCPLVLKFQFCSRAYFRQMCCKTCQGR</t>
  </si>
  <si>
    <t>GLTFKVTHAFRSQDELLSSLESYEIAFPTRVDHNGAMLAFSPPAFRRQRRGAGATTESRLFYKVAAPSTHFLLNLTRSPRLLAGHVSVEYWTREGLAWQRAARAHCLYAGHLQGQAGSSHVAVSTCGGLHGLIVADDEEYLIEPLQGGPKGHRGPEESGP</t>
  </si>
  <si>
    <t>EEYLIEPLQGGPKGHRGPEESGPHVVYKRSSLRHPHLDTACGVRDEKPWKGRPWWLRTLKPPPARPLGNESERGQLGLKRSVSRERYVETLVVADKMMVAYHGRRDVEQYVLAIMNIVAKLFQDSSLGNIVNILVTRLILLTEDQPTLEITHHAGKSLDS</t>
  </si>
  <si>
    <t>P69353</t>
  </si>
  <si>
    <t>IGVVGIGSASYKVMTRSSHQSLVIKLMPNITLLNNCTRVEIAEYRRLLRTVLEPIRDALNAMTQNIRPVQSVASSRRHKRFAGVVLAGAALGVATAAQITAGIALHQSMLNSQAIDNLRASLETTNQAIEAIRQAGQEMILAVQGVQDYINNELIPSMNQ</t>
  </si>
  <si>
    <t>MGLKVNVSAIFMAVLLTLQTPTGQIHWGNLSKIGVVGIGSASYKVMTRSSHQSLVIKLMPNITLLNNCTRVEIAEYRRLLRTVLEPIRDALNAMTQNIRPVQSVASSRRHKRFA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QILRSMKGLSSTSIVYILIAVCLGGLIGIPALICCCRGRCNKKGEQVGMSRPGLKPDLTGTSKSYVRSL</t>
  </si>
  <si>
    <t>P78325</t>
  </si>
  <si>
    <t>LSTCAGLRGFFQVGSDLHLIEPLDEGGEGGRHAVYQAEHLLQTAGTCGVSDDSLGSLLGPRTAAVFRPRPGDSLPSRETRYVELYVVVDNAEFQMLGSEAAVRHRVLEVVNHVDKLYQKLNFRVVLVGLEIWNSQDRFHVSPDPSVTLENLLTWQARQRT</t>
  </si>
  <si>
    <t>MRGLGLWLLGAMMLPAIAPSRPWALMEQYEVVLPWRLPGPRVRRALPSHLGLHPERVSYVLGATGHNFTLHLRKNRDLLGSGYTETYTAANGSEVTEQPRGQDHCFYQGHVEGYPDSAASLSTCAGLRGFFQVGSDLHLIEPLDEGGEGGRHAVYQAEHLLQTAGTCGVSDDSLGSLLGPRTAAVFRPRPGDSLPSRETRYVELYVVVDNAEFQMLGSEAAVRHRVLEVVNHVDKLYQKLNFRVVLVGLEIWNSQDRFHVSPDPSVTLENLLTWQARQRTRRHLHDNVQLITGVDFTGTTVGFARVSAMCSHSSGAVNQDHSKNPVGVACTMAHEMGHNLGMDHDENVQGCRCQERFEAGRCIMAGSIGSSFPRMFSDCSQAYLESFLERPQSVCLANAPDLSHLVGGPVCGNLFVERGEQCDCGPPEDCRNRCCNSTTCQLAEGAQCAHGTCCQECKVKPAGELCRPKKDMCDLEEFCDGRHPECPEDAFQENGTPCSGGYCYNGACPTLAQQCQAFWGPGGQAAEESCFSYDILPGCKASRYRADMCGVLQCKGGQQPLGRAICIVDVCHALTTEDGTAYEPVPEGTRCGPEKVCWKGRCQDLHVYRSSNCSAQCHNHGVCNHKQECHCHAGWAPPHCAKLLTEVHAASGSLPVFVVVVLVLLAVVLVTLAGIIVYRKARSRILSRNVAPKTTMGRSNPLFHQAASRVPAKGGAPAPSRGPQELVPTTHPGQPARHPASSVALKRPPPAPPVTVSSPPFPVPVYTRQAPKQVIKPTFAPPVPPVKPGAGAANPGPAEGAVGPKVALKPPIQRKQGAGAPTAP</t>
  </si>
  <si>
    <t>P97857</t>
  </si>
  <si>
    <t>ATERLAPAVPEEESSARPQFHILRRRRRGSGGAKCGVMDDETLPTSDSRPESQNTRNQWPVRDPTPQDAGKPSGPGSIRKKRFVSSPRYVETMLVADQSMADFHGSGLKHYLLTLFSVAARFYKHPSIRNSISLVVVKILVIYEEQKGPEVTSNAALTLR</t>
  </si>
  <si>
    <t>MQPKVPLGSRKQKPCSDMGDVQRAARSRGSLSAHMLLLLLASITMLLCARGAHGRPTEEDEELVLPSLERAPGHDSTTTRLRLDAFGQQLHLKLQPDSGFLAPGFTLQTVGRSPGSEAQHLDPTGDLAHCFYSGTVNGDPGSAAALSLCEGVRGAFYLQGEEFFIQPAPGVATERLAPAVPEEESSARPQFHILRRRRRGSGGAKCGVMDDETLPTSDSRPESQNTRNQWPVRDPTPQDAGKPSGPGSIRKKRFVSSPRYVETMLVADQSMADFHGSGLKHYLLTLFSVAARFYKHPSIRNSISLVVVKILVIYEEQKGPEVTSNAALTLRNFCSWQKQHNSPSDRDPEHYDTAILFTRQDLCGSHTCDTLGMADVGTVCDPSRSCSVIEDDGLQAAFTTAHELGHVFNMPHDDAKHCASLNGVSGDSHLMASMLSSLDHSQPWSPCSAYMVTSFLDNGHGECLMDKPQNPIKLPSDLPGTLYDANRQCQFTFGEESKHCPDAASTCTTLWCTGTSGGLLVCQTKHFPWADGTSCGEGKWCVSGKCVNKTDMKHFATPVHGSWGPWGPWGDCSRTCGGGVQYTMRECDNPVPKNGGKYCEGKRVRYRSCNIEDCPDNNGKTFREEQCEAHNEFSKASFGNEPTVEWTPKYAGVSPKDRCKLTCEAKGIGYFFVLQPKVVDGTPCSPDSTSVCVQGQCVKAGCDRIIDSKKKFDKCGVCGGNGSTCKKMSGIVTSTRPGYHDIVTIPAGATNIEVKHRNQRGSRNNGSFLAIRAADGTYILNGNFTLSTLEQDLTYKGTVLRYSGSSAALERIRSFSPLKEPLTIQVLMVGHALRPKIKFTYFMKKKTESFNAIPTFSEWVIEEWGECSKTCGSGWQRRVVQCRDINGHPASECAKEVKPASTRPCADLPCPHWQVGDWSPCSKTCGKGYKKRTLKCVSHDGGVLSNESCDPLKKPKHYIDFCTLTQCS</t>
  </si>
  <si>
    <t>Q01705</t>
  </si>
  <si>
    <t>VLVVLLPPDQLRNNSFHFLRELSHVLHTNVVFKRDAQGQQMIFPYYGHEEELRKHPIKRSTVGWATSSLLPGTSGGRQRRELDPMDIRGSIVYLEIDNRQCVQSSSQCFQSATDVAAFLGALASLGSLNIPYKIEAVKSEPVEPPLPSQLHLMYVAAAAF</t>
  </si>
  <si>
    <t>MPRLLTPLLCLTLLPALAARGLRCSQPSGTCLNGGRCEVANGTEACVCSGAFVGQRCQDSNPCLSTPCKNAGTCHVVDHGGTVDYACSCPLGFSGPLCLTPLDNACLANPCRNGGTCDLLTLTEYKCRCPPGWSGKSCQQADPCASNPCANGGQCLPFESSYICRCPPGFHGPTCRQDVNECSQNPGLCRHGGTCHNEIGSYRCACRATHTGPHCELPYVPCSPSPCQNGGTCRPTGDTTHECACLPGFAGQNCEENVDDCPGNNCKNGGACVDGVNTYNCRCPPEWTGQYCTEDVDECQLMPNACQNGGTCHNTHGGYNCVCVNGWTGEDCSENIDDCASAACFQGATCHDRVASFYCECPHGRTGLLCHLNDACISNPCNEGSNCDTNPVNGKAICTCPSGYTGPACSQDVDECALGANPCEHAGKCLNTLGSFECQCLQGYTGPRCEIDVNECISNPCQNDATCLDQIGEFQCICMPGYEGVYCEINTDECASSPCLHNGHCMDKINEFQCQCPKGFNGHLCQYDVDECASTPCKNGAKCLDGPNTYTCVCTEGYTGTHCEVDIDECDPDPCHYGSCKDGVATFTCLCQPGYTGHHCETNINECHSQPCRHGGTCQDRDNSYLCLCLKGTTGPNCEINLDDCASNPCDSGTCLDKIDGYECACEPGYTGSMCNVNIDECAGSPCHNGGTCEDGIAGFTCRCPEGYHDPTCLSEVNECNSNPCIHGACRDGLNGYKCDCAPGWSGTNCDINNNECESNPCVNGGTCKDMTSGYVCTCREGFSGPNCQTNINECASNPCLNQGTCIDDVAGYKCNCPLPYTGATCEVVLAPCATSPCKNSGVCKESEDYESFSCVCPTGWQGQTCEVDINECVKSPCRHGASCQNTNGSYRCLCQAGYTGRNCESDIDDCRPNPCHNGGSCTDGINTAFCDCLPGFQGAFCEEDINECASNPCQNGANCTDCVDSYTCTCPVGFNGIHCENNTPDCTESSCFNGGTCVDGINSFTCLCPPGFTGSYCQYDVNECDSRPCLHGGTCQDSYGTYKCTCPQGYTGLNCQNLVRWCDSAPCKNGGRCWQTNTQYHCECRSGWTGVNCDVLSVSCEVAAQKRGIDVTLLCQHGGLCVDEGDKHYCHCQAGYTGSYCEDEVDECSPNPCQNGATCTDYLGGFSCKCVAGYHGSNCSEEINECLSQPCQNGGTCIDLTNSYKCSCPRGTQGVHCEINVDDCHPPLDPASRSPKCFNNGTCVDQVGGYTCTCPPGFVGERCEGDVNECLSNPCDPRGTQNCVQRVNDFHCECRAGHTGRRCESVINGCRGKPCKNGGVCAVASNTARGFICRCPAGFEGATCENDARTCGSLRCLNGGTCISGPRSPTCLCLGSFTGPECQFPASSPCVGSNPCYNQGTCEPTSENPFYRCLCPAKFNGLLCHILDYSFTGGAGRDIPPPQIEEACELPECQVDAGNKVCNLQCNNHACGWDGGDCSLNFNDPWKNCTQSLQCWKYFSDGHCDSQCNSAGCLFDGFDCQLTEGQCNPLYDQYCKDHFSDGHCDQGCNSAECEWDGLDCAEHVPERLAAGTLVLVVLLPPDQLRNNSFHFLRELSHVLHTNVVFKRDAQGQQMIFPYYGHEEELRKHPIKRSTVGWATSSLLPGTSGGRQRRELDPMDIRGSIVYLEIDNRQCVQSSSQCFQSATDVAAFLGALASLGSLNIPYKIEAVKSEPVEPPLPSQLHLMYVAAAAFVLLFFVGCGVLLSRKRRRQHGQLWFPEGFKVSEASKKKRREPLGEDSVGLKPLKNASDGALMDDNQNEWGDEDLETKKFRFEEPVVLPDLSDQTDHRQWTQQHLDAADLRMSAMAPTPPQGEVDADCMDVNVRGPDGFTPLMIASCSGGGLETGNSEEEEDAPAVISDFIYQGASLHNQTDRTGETALHLAARYSRSDAAKRLLEASADANIQDNMGRTPLHAAVSADAQGVFQILLRNRATDLDARMHDGTTPLILAARLAVEGMLEDLINSHADVNAVDDLGKSALHWAAAVNNVDAAVVLLKNGANKDMQNNKEETPLFLAAREGSYETAKVLLDHFANRDITDHMDRLPRDIAQERMHHDIVRLLDEYNLVRSPQLHGTALGGTPTLSPTLCSPNGYLGNLKSATQGKKARKPSTKGLACGSKEAKDLKARRKKSQDGKGCLLDSSSMLSPVDSLESPHGYLSDVASPPLLPSPFQQSPSMPLSHLPGMPDTHLGISHLNVAAKPEMAALAGGSRLAFEPPPPRLSHLPVASSASTVLSTNGTGAMNFTVGAPASLNGQCEWLPRLQNGMVPSQYNPLRPGVTPGTLSTQAAGLQHSMMGPLHSSLSTNTLSPIIYQGLPNTRLATQPHLVQTQQVQPQNLQLQPQNLQPPSQPHLSVSSAANGHLGRSFLSGEPSQADVQPLGPSSLPVHTILPQESQALPTSLPSSMVPPMTTTQFLTPPSQHSYSSSPVDNTPSHQLQVPEHPFLTPSPESPDQWSSSSPHSNISDWSEGISSPPTTMPSQITHIPEAFK</t>
  </si>
  <si>
    <t>Q02413</t>
  </si>
  <si>
    <t>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</t>
  </si>
  <si>
    <t>Q05320</t>
  </si>
  <si>
    <t>SATTAAGPPKAENTNTSKSTDFLDPATTTSPQNHSETAGNNNTHHQDTGEESASSGKLGLITNTIAGVAGLITGGRRTRREAIVNAQPKCNPNLHYWTTQDEGAAIGLAWIPYFGPAAEGIYIEGLMHNQDGLICGLRQLANETTQALQLFLRATTELRT</t>
  </si>
  <si>
    <t>MGVTGILQLPRDRFKRTSFFLWVIILFQRTFSIPLGVIHNSTLQVSDVDKLVCRDKLSSTNQLRSVGLNLEGNGVATDVPSATKRWGFRSGVPPKVVNYEAGEWAENCYNLEIKKPDGSECLPAAPDGIRGFPRCRYVHKVSGTGPCAGDFAFHKEGAFFLYDRLASTVIYRGTTFAEGVVAFLILPQAKKDFFSSHPLREPVNATEDPSSGYYSTTIRYQATGFGTNETEYLFEVDNLTYVQLESRFTPQFLLQLNETIYTSGKRSNTTGKLIWKVNPEIDTTIGEWAFWETKKNLTRKIRSEELSFTVVSNGAKNISGQSPARTSSDPGTNTTTEDHKIMASENSSAMVQVHSQGREAAVSHLTTLATISTSPQSLTTKPGPDNSTHNTPVYKLDISEATQVEQHHRRTDNDSTASDTPSATTAAGPPKAENTNTSKSTDFLDPATTTSPQNHSETAGNNNTHHQDTGEESASSGKLGLITNTIAGVAGLITGGRRTRREAIVNAQPKCNPNLHYWTTQDEGAAIGLAWIPYFGPAAEGIYIEGLMHNQDGLICGLRQLANETTQALQLFLRATTELRTFSILNRKAIDFLLQRWGGTCHILGPDCCIEPHDWTKNITDKIDQIIHDFVDKTLPDQGDNDNWWTGWRQWIPAGIGVTGVIIAVIALFCICKFVF</t>
  </si>
  <si>
    <t>Q07456</t>
  </si>
  <si>
    <t>NYDEYAIFLTKKSSHHHGLTITAKLYGREPQLRDSLLQEFKDVALNVGISENSIIFMPDRGECVPGDREVEPTSIARARRAVLPQESEGSGTEPLITGTLKKEDSCQLNYSEGPCLGMQERYYYNGASMACETFQYGGCLGNGNNFISEKDCLQTCRTIA</t>
  </si>
  <si>
    <t>MQGLRTLFLLLTACLASRADPASTLPDIQVQENFSESRIYGKWYNLAVGSTCPWLSRIKDKMSVSTLVLQEGATETEISMTSTRWRRGVCEEITGAYQKTDIDGKFLYHKSKWNITLESYVVHTNYDEYAIFLTKKSSHHHGLTITAKLYGREPQLRDSLLQEFKDVALNVGISENSIIFMPDRGECVPGDREVEPTSIARARRAVLPQESEGSGTEPLITGTLKKEDSCQLNYSEGPCLGMQERYYYNGASMACETFQYGGCLGNGNNFISEKDCLQTCRTIAACNLPIVQGPCRAFIKLWAFDAAQGKCIQFHYGGCKGNGNKFYSEKECKEYCGVPGDGYEELIRS</t>
  </si>
  <si>
    <t>Q07954</t>
  </si>
  <si>
    <t>GSEYQVLYIADDNEIRSLFPGHPHSAYEQAFQGDESVRIDAMDVHVKAGRVYWTNWHTGTISYRSLPPAAPPTTSNRHRRQIDRGVTHLNISGLKMPRGIAIDWVAGNVYWTDSGRDVIEVAQMKGENRKTLISGMIDEPHAIVVDPLRGTMYWSDWGNH</t>
  </si>
  <si>
    <t>MLTPPLLLLLPLLSALVAAAIDAPKTCSPKQFACRDQITCISKGWRCDGERDCPDGSDEAPEICPQSKAQRCQPNEHNCLGTELCVPMSRLCNGVQDCMDGSDEGPHCRELQGNCSRLGCQHHCVPTLDGPTCYCNSSFQLQADGKTCKDFDECSVYGTCSQLCTNTDGSFICGCVEGYLLQPDNRSCKAKNEPVDRPPVLLIANSQNILATYLSGAQVSTITPTSTRQTTAMDFSYANETVCWVHVGDSAAQTQLKCARMPGLKGFVDEHTINISLSLHHVEQMAIDWLTGNFYFVDDIDDRIFVCNRNGDTCVTLLDLELYNPKGIALDPAMGKVFFTDYGQIPKVERCDMDGQNRTKLVDSKIVFPHGITLDLVSRLVYWADAYLDYIEVVDYEGKGRQTIIQGILIEHLYGLTVFENYLYATNSDNANA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GGAPPTVTLLRSERPPIFEIRMYDAQQQQVGTNKCRVNNGGCSSLCLATPGSRQCACAEDQVLDADGVTCLANPSYVPPPQCQPGEFACANSRCIQERWKCDGDNDCLDNSDEAPALCHQHTCPSDRFKCENNRCIPNRWLCDGDNDCGNSEDESNATCSARTCPPNQFSCASGRCIPISWTCDLDDDCGDRSDESASCAYPTCFPLTQFTCNNGRCININWRCDNDNDCGDNSDEAGCSHSCSSTQFKCNSGRCIPEHWTCDGDNDCGDYSDETHANCTNQATRPPGGCHTDEFQCRLDGLCIPLRWRCDGDTDCMDSSDEKSCEGVTHVCDPSVKFGCKDSARCISKAWVCDGDNDCEDNSDEENCESLACRPPSHPCANNTSVCLPPDKLCDGNDDCGDGSDEGELCDQCSLNNGGCSHNCSVAPGEGIVCSCPLGMELGPDNHTCQIQSYCAKHLKCSQKCDQNKFSVKCSCYEGWVLEPDGESCRSLDPFKPFIIFSNRHEIRRIDLHKGDYSVLVPGLRNTIALDFHLSQSALYWTDVVEDKIYRGKLLDNGALTSFEVVIQYGLATPEGLAVDWIAGNIYWVESNLDQIEVAKLDGTLRTTLLAGDIEHPRAIALDPRDGILFWTDWDASLPRIEAASMSGAGRRTVHRETGSGGWPNGLTVDYLEKRILWIDARSDAIYSARYDGSGHMEVLRGHEFLSHPFAVTLYGGEVYWTDWRTNTLAKANKWTGHNVTVVQRTNTQPFDLQVYHPSRQPMAPNPCEANGGQGPCSHLCLINYNRTVSCACPHLMKLHKDNTTCYEFKKFLLYARQMEIRGVDLDAPYYNYIISFTVPDIDNVTVLDYDAREQRVYWSDVRTQAIKRAFINGTGVETVVSADLPNAHGLAVDWVSRNLFWTSYDTNKKQINVARLDGSFKNAVVQGLEQPHGLVVHPLRGKLYWTDGDNISMANMDGSNRTLLFSGQKGPVGLAIDFPESKLYWISSGNHTINRCNLDGSGLEVIDAMRSQLGKATALAIMGDKLWWADQVSEKMGTCSKADGSGSVVLRNSTTLVMHMKVYDESIQLDHKGTNPCSVNNGDCSQLCLPTSETTRSCMCTAGYSLRSGQQACEGVGSFLLYSVHEGIRGIPLDPNDKSDALVPVSGTSLAVGIDFHAENDTIYWVDMGLSTISRAKRDQTWREDVVTNGIGRVEGIAVDWIAGNIYWTDQGFDVIEVARLNGSFRYVVISQGLDKPRAITVHPEKGYLFWTEWGQYPRIERSRLDGTERVVLVNVSISWPNGISVDYQDGKLYWCDARTDKIERIDLETGENREVVLSSNNMDMFSVSVFEDFIYWSDRTHANGSIKRGSKDNATDSVPLRTGIGVQLKDIKVFNRDRQKGTNVCAVANGGCQQLCLYRGRGQRACACAHGMLAEDGASCREYAGYLLYSERTILKSIHLSDERNLNAPVQPFEDPEHMKNVIALAFDYRAGTSPGTPNRIFFSDIHFGNIQQINDDGSRRITIVENVGSVEGLAYHRGWDTLYWTSYTTSTITRHTVDQTRPGAFERETVITMSGDDHPRAFVLDECQNLMFWTNWNEQHPSIMRAALSGANVLTLIEKDIRTPNGLAIDHRAEKLYFSDATLDKIERCEYDGSHRYVILKSEPVHPFGLAVYGEHIFWTDWVRRAVQRANKHVGSNMKLLRVDIPQQPMGIIAVANDTNSCELSPCRINNGGCQDLCLLTHQGHVNCSCRGGRILQDDLTCRAVNSSCRAQDEFECANGECINFSLTCDGVPHCKDKSDEKPSYCNSRRCKKTFRQCSNGRCVSNMLWCNGADDCGDGSDEIPCNKTACGVGEFRCRDGTCIGNSSRCNQFVDCEDASDEMNCSATDCSSYFRLGVKGVLFQPCERTSLCYAPSWVCDGANDCGDYSDERDCPGVKRPRCPLNYFACPSGRCIPMSWTCDKEDDCEHGEDETHCNKFCSEAQFECQNHRCISKQWLCDGSDDCGDGSDEAAHCEGKTCGPSSFSCPGTHVCVPERWLCDGDKDCADGADESIAAGCLYNSTCDDREFMCQNRQCIPKHFVCDHDRDCADGSDESPECEYPTCGPSEFRCANGRCLSSRQWECDGENDCHDQSDEAPKNPHCTSQEHKCNASSQFLCSSGRCVAEALLCNGQDDCGDSSDERGCHINECLSRKLSGCSQDCEDLKIGFKCRCRPGFRLKDDGRTCADVDECSTTFPCSQRCINTHGSYKCLCVEGYAPRGGDPHSCKAVTDEEPFLIFANRYYLRKLNLDGSNYTLLKQGLNNAVALDFDYREQMIYWTDVTTQGSMIRRMHLNGSNVQVLHRTGLSNPDGLAVDWVGGNLYWCDKGRDTIEVSKLNGAYRTVLVSSGLREPRALVVDVQNGYLYWTDWGDHSLIGRIGMDGSSRSVIVDTKITWPNGLTLDYVTERIYWADAREDYIEFASLDGSNRHVVLSQDIPHIFALTLFEDYVYWTDWETKSINRAHKTTGTNKTLLISTLHRPMDLHVFHALRQPDVPNHPCKVNNGGCSNLCLLSPGGGHKCACPTNFYLGS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ARFVCPPNRPFRCKNDRVCLWIGRQCDGTDNCGDGTDEEDCEPPTAHTTHCKDKKEFLCRNQRCLSSSLRCNMFDDCGDGSDEEDCSIDPKLTSCATNASICGDEARCVRTEKAAYCACRSGFHTVPGQPGCQDINECLRFGTCSQLCNNTKGGHLCSCARNFMKTHNTCKAEGSEYQVLYIADDNEIRSLFPGHPHSAYEQAFQGDESVRIDAMDVHVKAGRVYWTNWHTGTISYRSLPPAAPPTTSNRHRRQIDRGVTHLNISGLKMPRGIAIDWVAGNVYWTDSGRDVIEVAQMKGENRKTLISGMIDEPHAIVVDPLRGTMYWSDWGNHPKIETAAMDGTLRETLVQDNIQWPTGLAVDYHNERLYWADAKLSVIGSIRLNGTDPIVAADSKRGLSHPFSIDVFEDYIYGVTYINNRVFKIHKFGHSPLVNLTGGLSHASDVVLYHQHKQPEVTNPCDRKKCEWLCLLSPSGPVCTCPNGKRLDNGTCVPVPSPTPPPDAPRPGTCNLQCFNGGSCFLNARRQPKCRCQPRYTGDKCELDQCWEHCRNGGTCAASPSGMPTCRCPTGFTGPKCTQQVCAGYCANNSTCTVNQGNQPQCRCLPGFLGDRCQYRQCSGYCENFGTCQMAADGSRQCRCTAYFEGSRCEVNKCSRCLEGACVVNKQSGDVTCNCTDGRVAPSCLTCVGHCSNGGSCTMNSKMMPECQCPPHMTGPRCEEHVFSQQQPGHIASILIPLLLLLLLVLVAGVVFWYKRRVQGAKGFQHQRMTNGAMNVEIGNPTYKMYEGGEPDDVGGLLDADFALDPDKPTNFTNPVYATLYMGGHGSRHSLASTDEKRELLGRGPEDEIGDPLA</t>
  </si>
  <si>
    <t>Q13275</t>
  </si>
  <si>
    <t>DAVHAALFPPLSMSAPPPPGAGPPTPPYQELAQLLAQPEVGLIHQYCQGYWRHVPPSPREAPGAPRSPEPQDQKKPRNRRHHPPDT--------------------------------------------------------------------------</t>
  </si>
  <si>
    <t>MLVAGLLLWASLLTGAWPSFPTQDHLPATPRVRLSFKELKATGTAHFFNFLLNTTDYRILLKDEDHDRMYVGSKDYVLSLDLHDINREPLIIHWAASPQRIEECVLSGKDVNGECGNFVRLIQPWNRTHLYVCGTGAYNPMCTYVNRGRRAQATPWTQTQAVRGRGSRATDGALRPMPTAPRQDYIFYLEPERLESGKGKCPYDPKLDTASALINEELYAGVYIDFMGTDAAIFRTLGKQTAMRTDQYNSRWLNDPSFIHAELIPDSAERNDDKLYFFFRERSAEAPQSPAVYARIGRICLNDDGGHCCLVNKWSTFLKARLVCSVPGEDGIETHFDELQDVFVQQTQDVRNPVIYAVFTSSGSVFRGSAVCVYSMADIRMVFNGPFAHKEGPNYQWMPFSGKMPYPRPGTCPGGTFTPSMKSTKDYPDEVINFMRSHPLMYQAVYPLQRRPLVVRTGAPYRLTTIAVDQVDAADGRYEVLFLGTDRGTVQKVIVLPKDDQELEELMLEEVEVFKDPAPVKTMTISSKRQQLYVASAVGVTHLSLHRCQAYGAACADCCLARDPYCAWDGQACSRYTASSKRRSRRQDVRHGNPIRQCRGFNSNANKNAVESVQYGVAGSAAFLECQPRSPQATVKWLFQRDPGDRRREIRAEDRFLRTEQGLLLRALQLSDRGLYSCTATENNFKHVVTRVQLHVLGRDAVHAALFPPLSMSAPPPPGAGPPTPPYQELAQLLAQPEVGLIHQYCQGYWRHVPPSPREAPGAPRSPEPQDQKKPRNRRHHPPDT</t>
  </si>
  <si>
    <t>Q13444</t>
  </si>
  <si>
    <t>AGSWVSICTCSGLRGLVVLTPERSYTLEQGPGDLQGPPIISRIQDLHLPGHTCALSWRESVHTQKPPEHPLGQRHIRRRRDVVTETKTVELVIVADHSEAQKYRDFQHLLNRTLEVALLLDTFFRPLNVRVALVGLEAWTQRDLVEISPNPAVTLENFLH</t>
  </si>
  <si>
    <t>MRLALLWALGLLGAGSPLPSWPLPNIGGTEEQQAESEKAPREPLEPQVLQDDLPISLKKVLQTSLPEPLRIKLELDGDSHILELLQNRELVPGRPTLVWYQPDGTRVVSEGHTLENCCYQGRVRGYAGSWVSICTCSGLRGLVVLTPERSYTLEQGPGDLQGPPIISRIQDLHLPGHTCALSWRESVHTQKPPEHPLGQRHIRRRRDVVTETKTVELVIVADHSEAQKYRDFQHLLNRTLEVALLLDTFFRPLNVRVALVGLEAWTQRDLVEISPNPAVTLENFLHWRRAHLLPRLPHDSAQLVTGTSFSGPTVGMAIQNSICSPDFSGGVNMDHSTSILGVASSIAHELGHSLGLDHDLPGNSCPCPGPAPAKTCIMEASTDFLPGLNFSNCSRRALEKALLDGMGSCLFERLPSLPPMAAFCGNMFVEPGEQCDCGFLDDCVDPCCDSLTCQLRPGAQCASDGPCCQNCQLRPSGWQCRPTRGDCDLPEFCPGDSSQCPPDVSLGDGEPCAGGQAVCMHGRCASYAQQCQSLWGPGAQPAAPLCLQTANTRGNAFGSCGRNPSGSYVSCTPRDAICGQLQCQTGRTQPLLGSIRDLLWETIDVNGTELNCSWVHLDLGSDVAQPLLTLPGTACGPGLVCIDHRCQRVDLLGAQECRSKCHGHGVCDSNRHCYCEEGWAPPDCTTQLKATSSLTTGLLLSLLVLLVLVMLGASYWYRARLHQRLCQLKGPTCQYRAAQSGPSERPGPPQRALLARGTKQASALSFPAPPSRPLPPDPVSKRLQAELADRPNPPTRPLPADPVVRSPKSQGPAKPPPPRKPLPADPQGRCPSGDLPGPGAGIPPLVVPSRPAPPPPTVSSLYL</t>
  </si>
  <si>
    <t>Q13683</t>
  </si>
  <si>
    <t>DVGSKVKYEVTVSNQGQSLRTLGSAFLNIMWPHEIANGKWLLYPMQVELEGGQGPGQKGLCSPRPNILHLDVDSRDRRRRELEPPEQQEPGERQEPSMSWWPVSSAEKKKNITLDCARGTANCVVFSCPLYSFDRAAVLHVWGRLWNSTFLEEYSAVKSL</t>
  </si>
  <si>
    <t>MAGARSRDPWGASGICYLFGSLLVELLFSRAVAFNLDVMGALRKEGEPGSLFGFSVALHRQLQPRPQSWLLVGAPQALALPGQQANRTGGLFACPLSLEETDCYRVDIDQGADMQKESKENQWLGVSVRSQGPGGKIVTCAHRYEARQRVDQILETRDMIGRCFVLSQDLAIRDELDGGEWKFCEGRPQGHEQFGFCQQGTAAAFSPDSHYLLFGAPGTYNWKGTARVELCAQGSADLAHLDDGPYEAGGEKEQDPRLIPVPANSYFGLLFVTNIDSSDPDQLVYKTLDPADRLPGPAGDLALNSYLGFSIDSGKGLVRAEELSFVAGAPRANHKGAVVILRKDSASRLVPEVMLSGERLTSGFGYSLAVADLNSDGWPDLIVGAPYFFERQEELGGAVYVYLNQGGHWAGISPLRLCGSPDSMFGISLAVLGDLNQDGFPDIAVGAPFDGDGKVFIYHGSSLGVVAKPSQVLEGEAVGIKSFGYSLSGSLDMDGNQYPDLLVGSLADTAVLFRARPILHVSHEVSIAPRSIDLEQPNCAGGHSVCVDLRVCFSYIAVPSSYSPTVALDYVLDADTDRRLRGQVPRVTFLSRNLEEPKHQASGTVWLKHQHDRVCGDAMFQLQENVKDKLRAIVVTLSYSLQTPRLRRQAPGQGLPPVAPILNAHQPSTQRAEIHFLKQGCGEDKICQSNLQLVRARFCTRVSDTEFQPLPMDVDGTTALFALSGQPVIGLELMVTNLPSDPAQPQADGDDAHEAQLLVMLPDSLHYSGVRALDPAEKPLCLSNENASHVECELGNPMKRGAQVTFYLILSTSGISIETTELEVELLLATISEQELHPVSARARVFIELPLSIAGMAIPQQLFFSGVVRGERAMQSERDVGSKVKYEVTVSNQGQSLRTLGSAFLNIMWPHEIANGKWLLYPMQVELEGGQGPGQKGLCSPRPNILHLDVDSRDRRRRELEPPEQQEPGERQEPSMSWWPVSSAEKKKNITLDCARGTANCVVFSCPLYSFDRAAVLHVWGRLWNSTFLEEYSAVKSLEVIVRANITVKSSIKNLMLRDASTVIPVMVYLDPMAVVAEGVPWWVILLAVLAGLLVLALLVLLLWKMGFFKRAKHPEATVPQYHAVKIPREDRQQFKEEKTGTILRNNWGSPRREGPDAHPILAADGHPELGPDGHPGPGTA</t>
  </si>
  <si>
    <t>Q14563</t>
  </si>
  <si>
    <t>LLEEMTVFREPTAISAMELSTKQQQLYIGSTAGVAQLPLHRCDIYGKACAECCLARDPYCAWDGSACSRYFPTAKRRTRRQDIRNGDPLTHCSDLHHDNHHGHSPEERIIYGVENSSTFLECSPKSQRALVYWQFQRRNEERKEEIRVDDHIIRTDQGLL</t>
  </si>
  <si>
    <t>MGWLTRIVCLFWGVLLTARANYQNGKNNVPRLKLSYKEMLESNNVITFNGLANSSSYHTFLLDEERSRLYVGAKDHIFSFDLVNIKDFQKIVWPVSYTRRDECKWAGKDILKECANFIKVLKAYNQTHLYACGTGAFHPICTYIEIGHHPEDNIFKLENSHFENGRGKSPYDPKLLTASLLIDGELYSGTAADFMGRDFAIFRTLGHHHPIRTEQHDSRWLNDPKFISAHLISESDNPEDDKVYFFFRENAIDGEHSGKATHARIGQICKNDFGGHRSLVNKWTTFLKARLICSVPGPNGIDTHFDELQDVFLMNFKDPKNPVVYGVFTTSSNIFKGSAVCMYSMSDVRRVFLGPYAHRDGPNYQWVPYQGRVPYPRPGTCPSKTFGGFDSTKDLPDDVITFARSHPAMYNPVFPMNNRPIVIKTDVNYQFTQIVVDRVDAEDGQYDVMFIGTDVGTVLKVVSIPKETWYDLEEVLLEEMTVFREPTAISAMELSTKQQQLYIGSTAGVAQLPLHRCDIYGKACAECCLARDPYCAWDGSACSRYFPTAKRRTRRQDIRNGDPLTHCSDLHHDNHHGHSPEERIIYGVENSSTFLECSPKSQRALVYWQFQRRNEERKEEIRVDDHIIRTDQGLLLRSLQQKDSGNYLCHAVEHGFIQTLLKVTLEVIDTEHLEELLHKDDDGDGSKTKEMSNSMTPSQKVWYRDFMQLINHPNLNTMDEFCEQVWKRDRKQRRQRPGHTPGNSNKWKHLQENKKGRNRRTHEFERAPRSV</t>
  </si>
  <si>
    <t>Q16819</t>
  </si>
  <si>
    <t>QMLKRRSFLKNDDLIIFVDFEDITHLSQTEVPTKGKRLSPQGLILQGQEQQVSEEGSGKAMLEEALPVSLSQGQPSRQKRSVENTGPLEDHNWPQYFRDPCDPNPCQNDGICVNVKGMASCRCISGHAFFYTGERCQAVQVHGSVLGMVIGGTAGVIFLT</t>
  </si>
  <si>
    <t>MAWIRSTCILFFTLLFAHIAAVPIKYLPEENVHDADFGEQKDISEINLAAGLDLFQGDILLQKSRNGLRDPNTRWTFPIPYILADNLGLNAKGAILYAFEMFRLKSCVDFKPYEGESSYIIFQQFDGCWSEVGDQHVGQNISIGQGCAYKAIIEHEILHALGFYHEQSRTDRDDYVNIWWDQILSGYQHNFDTYDDSLITDLNTPYDYESLMHYQPFSFNKNASVPTITAKIPEFNSIIGQRLDFSAIDLERLNRMYNCTTTHTLLDHCTFEKANICGMIQGTRDDTDWAHQDSAQAGEVDHTLLGQCTGAGYFMQFSTSSGSAEEAALLESRILYPKRKQQCLQFFYKMTGSPSDRLVVWVRRDDSTGNVRKLVKVQTFQGDDDHNWKIAHVVLKEEQKFRYLFQGTKGDPQNSTGGIYLDDITLTETPCPTGVWTVRNFSQVLENTSKGDKLQSPRFYNSEGYGFGVTLYPNSRESSGYLRLAFHVCSGENDAILEWPVENRQVIITILDQEPDVRNRMSSSMVFTTSKSHTSPAINDTVIWDRPSRVGTYHTDCNCFRSIDLGWSGFISHQMLKRRSFLKNDDLIIFVDFEDITHLSQTEVPTKGKRLSPQGLILQGQEQQVSEEGSGKAMLEEALPVSLSQGQPSRQKRSVENTGPLEDHNWPQYFRDPCDPNPCQNDGICVNVKGMASCRCISGHAFFYTGERCQAVQVHGSVLGMVIGGTAGVIFLTFSIIAILSQRPRK</t>
  </si>
  <si>
    <t>Q16962</t>
  </si>
  <si>
    <t>YLNQFAVHISGGHSAASRVARDTGFINLGQIGSLDDHYLFEIPHRQRRSATHSHEHHTALTDHGEVGWFEQQVVKSRSKRDFHPRDVAEQMSVLDPYWKNQWYLHGGAQGGYDMKVMEAWREGYTGKNIVVAILDDGLEHNHPDLIKNYDPYASYDLNDH</t>
  </si>
  <si>
    <t>MFLALVLGSVVGAEVYLNQFAVHISGGHSAASRVARDTGFINLGQIGSLDDHYLFEIPHRQRRSATHSHEHHTALTDHGEVGWFEQQVVKSRSKRDFHPRDVAEQMSVLDPYWKNQWYLHGGAQGGYDMKVMEAWREGYTGKNIVVAILDDGLEHNHPDLIKNYDPYASYDLNDHDNDPMPRYDASNENRHGTRCAGEVSAEANNTACTIGIAPDSRIGGIRMLDGEVYDAVEAASLSFNRSHVDIYSASWGPDDDGKVVDGPGKLAKEAFIKGIENGRGGKGSIFVWASGNGGSAHDSCNCDGYANSIFTLSISSTSENGIKPWYLEECSSTLASTYSSGAYNERQIATTDLRQRCTTTHTGTSASAPLAAGIVALVLEANRDLTWRDVQYITLMTSRSDPIEDGQWIVNGVGRKVSLRYGYGLMDATEMVKLAKVWRQVPEKHECLITSDVQNVPLASGNKFSSQVLTNGCVGTSTEVNYLEHVQARISLTHSQRGSVVIYLTSPSGTRSKVLPARSNDVAPGGFDNWPLLSVHFWGENPRGTWTLEIEEANMYNRRSSGGKLASWSLVLHGTRVKPVRLLNETSPATTTKTTAATTSSTSTTTTKKPSTPKVEACHKECAGGCTGTRPEDCNECKNFRVSSTRVCVSQCPDGFYTSGDMCMPCDASCATCSGPALTECQSCHEGRHYHQLKDKHSVCNIECVDGFFYSTNSCLPCDVGCKHCESSALHCTACRKGYSLKDDKCVSQAAVVSVMFEHITLSIVLISVIVLLVVFIFMGLLYMYRNQLFFWSDRKMYGPVPREDEEAVVRLTYSDDFDEDFKS</t>
  </si>
  <si>
    <t>Q28193</t>
  </si>
  <si>
    <t>MELRPWLFWVVAAAGALVLLVADARGEKVFTNTWAVHIPGGPAVADRVARKHGFLNLGQIFGDYYHFWHRAVTKRSLSPHRLGHNRLQREPQVKWLEQQVAKRRAKRDIYQEPTDPKFPQQWYLSGVTQRDLNVKEAWAQGYTGRGIVVSILDDGIEKNHPDLAGNYDPGASFDVNDQDPDPQPRYTQMNDNRHGTRCAGEVAAVANNGVCGVGVAYNARIGGVRMLDGEVTDAVEARSLGLNPNHIHIYSASWGPEDDGKTVDGPAHLAEEAFFRGVSQGRGGLGSIFVWASGNGGREHDSCNCDGYTNSIYTLSISSATQFGNVPWYSEACSSTLATTYSSGNQNEKQIVTTDLRQKCTESHTGTSAFAPLAAGIIALTLEANKNLTWRDMQHLVVRTSKPAHLNANDWATNGVGRKVSHSYGYGLLDAGAMVALAQNWTTVAPQRKCTIDILTEPKDIGKRLEVRKTVTACLGEPSHITRLEHAQARLTLSYNRRGDLAIHLVSPMGTRSTLLAARPHDYSADGFNDWAFMTTHSWDEDPSGEWVLEIENTSEANNYGTLTKFTLVLYGTAPEGLPTPPESIGCKTLTSSQACVVCEEGFSLHQKNCVQHCPPGFAPQVLDTHYSTENDVEIIRASVCTPCHASCATCQGPAPTDCLSCPSHASLDPVEQTCSRQSQSSRESHQQQPPPPPRPPPAEVATEPRLRADLLPSHLPEVVAGLSCAFIVLVFVTVFLVLQLRSGFSFRGVKVYTMDRGLISYKGLPPEAWQEECPSDSEEDEGRGERTAFIKDQSAL</t>
  </si>
  <si>
    <t>RGEKVFTNTWAVHIPGGPAVADRVARKHGFLNLGQIFGDYYHFWHRAVTKRSLSPHRLGHNRLQREPQVKWLEQQVAKRRAKRDIYQEPTDPKFPQQWYLSGVTQRDLNVKEAWAQGYTGRGIVVSILDDGIEKNHPDLAGNYDPGASFDVNDQDPDPQP</t>
  </si>
  <si>
    <t>KVFTNTWAVHIPGGPAVADRVARKHGFLNLGQIFGDYYHFWHRAVTKRSLSPHRLGHNRLQREPQVKWLEQQVAKRRAKRDIYQEPTDPKFPQQWYLSGVTQRDLNVKEAWAQGYTGRGIVVSILDDGIEKNHPDLAGNYDPGASFDVNDQDPDPQPRYT</t>
  </si>
  <si>
    <t>Q3U435</t>
  </si>
  <si>
    <t>VVSMGVEWLTRYGYLPPADPVHAQMQSLEKLQDAIKVMQRFAGLPETGQMDPMTIKTMRKPRCSLPDVLGAAGLVRRRRRYSLSGSVWKKRTLTWSIRSFSQKSQLSPQIVRTLLSYALAVWATESGLTFQEVNSQYQEPDIIIHFARAYHQDSYPFDGS</t>
  </si>
  <si>
    <t>MCFPGSQISPARLYYLVSAPWICTGSLTSSRLPRRRESGPLRVPPRSVQAERILRLPAFGLPLLALLLVPLLPVRAQNPDAKVVSMGVEWLTRYGYLPPADPVHAQMQSLEKLQDAIKVMQRFAGLPETGQMDPMTIKTMRKPRCSLPDVLGAAGLVRRRRRYSLSGSVWKKRTLTWSIRSFSQKSQLSPQIVRTLLSYALAVWATESGLTFQEVNSQYQEPDIIIHFARAYHQDSYPFDGSGGTLAHAFFPGEHPISGDTHFDDEETWTFGSTDDNGIDLFAVAVHEFGHALGLGHSSAPNSIMRPFYQGPVGDPATYRLPQDDRDGLQQLYGRVSQNPNARPTRKPLVPPPQPPAMPPDSPATPVPDRCEGNFDAVANIRGEIFLFKGPWFWRLQPSGQLVSPRPAGLHRFWEGLPTHVKVIQAAYARPLDGRIILFSGPQFWVFQERQLEGAARPLVEFGLPPGEDVDAVFSWPHNGKTYLIRGQKYWRYDEVAARPDPGYPRALSLWDGAPFAPDDVTISNTGDTYFFKGTHFWRFAEGSVKAESDSPQPIGPKWLDCPAPNSDPRVTSPPKTTSKTRSCDCHCELNQASEQLSPLLLPLLPLVAGEVFSY</t>
  </si>
  <si>
    <t>Q4ZG58</t>
  </si>
  <si>
    <t>AGNGMPIGESENLFDDSLRVDYFNQYINEVLKAIKEDSVDVRSYIARSLIDGFEGPSGYSQRFGLHHVNFSDSSKSRTPRKSAYFFTSIIEKNGFLTKGAKRLLPPNTVNLPSKVRAFTFPSEVPSKAKVVWEKFSSQPKFERDLFYHGTFRDDFLWGVS</t>
  </si>
  <si>
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</si>
  <si>
    <t>Q53XC5</t>
  </si>
  <si>
    <t>RINIYEVMKPPAEVVPGHLITRLLDTRLVHHNVTRWETFDVSPAVLRWTREKQPNYGLAIEVTHLHQTRTHQGQHVRISRSLPQGSGNWAQLRPLLVTFGHDGRGHALTRRRRAKRSPKHHSQRARKKNKNCRRHSLYVDFSDVGWNDWIVAPPGYQAFY</t>
  </si>
  <si>
    <t>Q60813</t>
  </si>
  <si>
    <t>DCHYEGYMEGVPGSFVSVNICSGLRGVLIKEETSYGIEPMLSSKNFEHVLYTMEHQPVVSCSVTPKDSPGDTSHPPRSRKPDDLLVLTDWWSHTKYVEMFVVVNHQRFQMWGSNINETVQAVMDIIALANSFTRGINTEVVLVGLEIWTEGDPIEVPVDL</t>
  </si>
  <si>
    <t>MSVAAAGRGFASSLSSPQIRRIALKEAKLTPHIWAALHWNLGLRLVPSVRVGILVLLIFLPSTFCDIGSVYNSSYETVIPERLPGKGGKDPGGKVSYMLLMQGQKQLLHLEVKGHYPENNFPVYSYHNGILRQEMPLLSQDCHYEGYMEGVPGSFVSVNICSGLRGVLIKEETSYGIEPMLSSKNFEHVLYTMEHQPVVSCSVTPKDSPGDTSHPPRSRKPDDLLVLTDWWSHTKYVEMFVVVNHQRFQMWGSNINETVQAVMDIIALANSFTRGINTEVVLVGLEIWTEGDPIEVPVDLQTTLRNFNFWRQEKLVGRVRHDVAHLIVGHRPGENEGQAFLRGACSGEFAAAVEAFHHEDVLLFAALMAHELGHNLGIQHDHPTCTCGPKHFCLMGEKIGKDSGFSNCSSDHFLRFLHDHRGACLLDEPGRQSRMRRAANCGNGVVEDLEECDCGSDCDSHPCCSPTCTLKEGAQCSEGLCCYNCTFKKKGSLCRPAEDVCDLPEYCDGSTQECPANSYMQDGTQCDRIYYCLGGWCKNPDKQCSRIYGYPARSAPEECYISVNTKANRFGNCGHPTSANFRYETCSDEDVFCGKLVCTDVRYLPKVKPLHSLLQVPYGEDWCWSMDAYNITDVPDDGDVQSGTFCAPNKVCMEYICTGRGVLQYNCEPQEMCHGNGVCNNFKHCHCDAGFAPPDCSSPGNGGSVDSGPVGKPADRHLSLSFLAEESPDDKMEDEEVNLKVMVLVVPIFLVVLLCCLMLIAYLWSEVQEVVSPPSSSESSSSSSWSDSDSQ</t>
  </si>
  <si>
    <t>Q61180</t>
  </si>
  <si>
    <t>QFALLFEEYFSYPVSLNINLNSDKLVFPAVTVCTLNPYRYTEIKEDLEELDRITEQTLFDLYKYNSSYTRQAGGRRRSTRDLRGALPHPLQRLRTPPPPNPARSARSASSSVRDNNPQVDRKDWKIGFQLCNQNKSDCFYQTYSSGVDAVREWYRFHYIN</t>
  </si>
  <si>
    <t>MLDHTRAPELNLDLDLDVSNSPKGSMKGNNFKEQDLCPPLPMQGLGKGDKREEQALGPEPSEPRQPTEEEEALIEFHRSYRELFQFFCNNTTIHGAIRLVCSKHNRMKTAFWAVLWLCTFGMMYWQFALLFEEYFSYPVSLNINLNSDKLVFPAVTVCTLNPYRYTEIKEDLEELDRITEQTLFDLYKYNSSYTRQAGGRRRSTRDLRGALPHPLQRLRTPPPPNPARSARSASSSVRDNNPQVDRKDWKIGFQLCNQNKSDCFYQTYSSGVDAVREWYRFHYINILSRLPDTSPALEEEALGSFIFTCRFNQAPCNQANYSQFHHPMYGNCYTFNNKNNSNLWMSSMPGVNNGLSLTLRTEQNDFIPLLSTVTGARVMVHGQDEPAFMDDGGFNVRPGVETSISMRKEALDSLGGNYGDCTENGSDVPVKNLYPSKYTQQVCIHSCFQENMIKKCGCAYIFYPKPKGVEFCDYLKQSSWGYCYYKLQAAFSLDSLGCFSKCRKPCSVTNYKLSAGYSRWPSVKSQDWIFEMLSLQNNYTINNKRNGVAKLNIFFKELNYKTNSESPSVTMVSLLSNLGSQWSLWFGSSVLSVVEMAELIFDLLVITLIMLLHRFRSRYWSPGRGARGAREVASTPASSFPSRFCPHPTSPPPSLPQQGTTPPLALTAPPPAYATLGPSASPLDSAVPGSSACAPAMAL</t>
  </si>
  <si>
    <t>FPAVTVCTLNPYRYTEIKEDLEELDRITEQTLFDLYKYNSSYTRQAGGRRRSTRDLRGALPHPLQRLRTPPPPNPARSARSASSSVRDNNPQVDRKDWKIGFQLCNQNKSDCFYQTYSSGVDAVREWYRFHYINILSRLPDTSPALEEEALGSFIFTCRF</t>
  </si>
  <si>
    <t>Q68SA9</t>
  </si>
  <si>
    <t>MHRGPSLLLILCALASRVLGPASGLVTEGRAGLDIVHPVRVDAGGSFLSYELWPRVLRKRDVSTTQASSAFYQLQYQGRELLFNLTTNPYLMAPGFVSEIRRHSTLGHAHIQTSVPTCHLLGDVQDPELEGGFAAISACDGLRGVFQLSNEDYFIEPLDGVSAQPGHAQPHVVYKHQGSRKQAQQGDSRPSGTCGMQVPPDLEQQREHWEQQQQKRRQQRSVSKEKWVETLVVADSKMVEYHGQPQVESYVLTIMNMVAGLFHDPSIGNPIHISIVRLIILEDEEKDLKITHHAEETLKNFCRWQKNINIKGDDHPQHHDTAILLTRKDLCASMNQPCETLGLSHVSGLCHPQLSCSVSEDTGMPLAFTVAHELGHSFGIQHDGTGNDCESIGKRPFIMSPQLLYDRGIPLTWSRCSREYITRFLDRGWGLCLDDRPSKDVIALPSVLPGVLYDVNHQCRLQYGSHSAYCEDMDDVCHTLWCSVGTTCHSKLDAAVDGTSCGKNKWCLKGECVPEGFQPEAVDGGWSGWSAWSDCSRSCGVGVRSSERQCTQPVPKNRGKYCVGERKRSQLCNLPACPPDRPSFRHTQCSQFDGMLYKGKLHKWVPVPNDDNPCELHCRPSNSSNTEKLRDAVVDGTPCYQSRISRDICLNGICKNVGCDFVIDSGAEEDRCGVCRGDGSTCQTVSRTFKETEGQGYVDIGLIPAGAREILIEEVAEAANFLALRSEDPDKYFLNGGWTIQWNGDYRVAGTTFTYARKGNWENLTSPGPTSEPVWIQLLFQEKNPGVHYQYTIQRDSHDQVRPPEFSWHYGPWSKCTVTCGTGVQRQSLYCMERQAGVVAEEYCNTLNRPDERQRKCSEEPCPPRWWAGEWQPCSRSCGPEGLSRRAVFCIRSMGLDEQRALELSACEHLPRPLAETPCNRHVICPSTWGVGNWSQCSVTCGAGIRQRSVLCINNTDVPCDEAERPITETFCFLQPCQYPMYIVDTGASGSGSSSPELFNEVDFIPNQLAPRPSPASSPKPVSISNAIDEEELDPPGPVFVDDFYYDYNFINFHEDLSYGSFEEPHPDLVDNGGWTAPPHIRPTESPSDTPVPTAGALGAEAEDIQGSWSPSPLLSEASYSPPGLEQTSINPLANFLTEEDTPMGAPELGFPSLPWPPASVDDMMTPVGPGNPDELLVKEDEQSPPSTPWSDRNKLSTDGNPLGHTSPALPQSPIPTQPSPPSISPTQASPSPDVVEVSTGWNAAWDPVLEADLKPGHGELPSTVEVASPPLLPMATVPGIWGRDSPLEPGTPTFSSPELSSQHLKTLTMPGTLLLTVPTDLRSPGPSGQPQTPNLEGTQSPGLLPTPARETQTNSSKDPEVQPLQPSLEEDGDPADPLPARNASWQVGNWSQCSTTCGLGAIWRLVSCSSGNDEDCTLASRPQPARHCHLRPCAAWRTGNWSKCSRNCGGGSSTRDVQCVDTRDLRPLRPFHCQPGPTKPPNRQLCGTQPCLPWYTSSWRECSEACGGGEQQRLVTCPEPGLCEESLRPNNSRPCNTHPCTQWVVGPWGQCSAPCGGGVQRRLVRCVNTQTGLAEEDSDLCSHEAWPESSRPCATEDCELVEPPRCERDRLSFNFCETLRLLGRCQLPTIRAQCCRSCPPLSRGVPSRGHQRVARR</t>
  </si>
  <si>
    <t>GLRGVFQLSNEDYFIEPLDGVSAQPGHAQPHVVYKHQGSRKQAQQGDSRPSGTCGMQVPPDLEQQREHWEQQQQKRRQQRSVSKEKWVETLVVADSKMVEYHGQPQVESYVLTIMNMVAGLFHDPSIGNPIHISIVRLIILEDEEKDLKITHHAEETLKN</t>
  </si>
  <si>
    <t>Q6SW76</t>
  </si>
  <si>
    <t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RTGTQDKGQKPNLLDRLRHRKNGYRHLKDSDEEENV</t>
  </si>
  <si>
    <t>Q76LX8</t>
  </si>
  <si>
    <t>MHQRHPRARCPPLCVAGILACGFLLGCWGPSHFQQSCLQALEPQAVSSYLSPGAPLKGRPPSPGFQRQRQRQRRAAGGILHLELLVAVGPDVFQAHQEDTERYVLTNLNIGAELLRDPSLGAQFRVHLVKMVILTEPEGAPNITANLTSSLLSVCGWSQTINPEDDTDPGHADLVLYITRFDLELPDGNRQVRGVTQLGGACSPTWSCLITEDTGFDLGVTIAHEIGHSFGLEHDGAPGSGCGPSGHVMASDGAAPRAGLAWSPCSRRQLLSLLSAGRARCVWDPPRPQPGSAGHPPDAQPGLYYSANEQCRVAFGPKAVACTFAREHLDMCQALSCHTDPLDQSSCSRLLVPLLDGTECGVEKWCSKGRCRSLVELTPIAAVHGRWSSWGPRSPCSRSCGGGVVTRRRQCNNPRPAFGGRACVGADLQAEMCNTQACEKTQLEFMSQQCARTDGQPLRSSPGGASFYHWGAAVPHSQGDALCRHMCRAIGESFIMKRGDSFLDGTRCMPSGPREDGTLSLCVSGSCRTFGCDGRMDSQQVWDRCQVCGGDNSTCSPRKGSFTAGRAREYVTFLTVTPNLTSVYIANHRPLFTHLAVRIGGRYVVAGKMSISPNTTYPSLLEDGRVEYRVALTEDRLPRLEEIRIWGPLQEDADIQVYRRYGEEYGNLTRPDITFTYFQPKPRQAWVWAAVRGPCSVSCGAGLRWVNYSCLDQARKELVETVQCQGSQQPPAWPEACVLEPCPPYWAVGDFGPCSASCGGGLRERPVRCVEAQGSLLKTLPPARCRAGAQQPAVALETCNPQPCPARWEVSEPSSCTSAGGAGLALENETCVPGADGLEAPVTEGPGSVDEKLPAPEPCVGMSCPPGWGHLDATSAGEKAPSPWGSIRTGAQAAHVWTPAAGSCSVSCGRGLMELRFLCMDSALRVPVQEELCGLASKPGSRREVCQAVPCPARWQYKLAACSVSCGRGVVRRILYCARAHGEDDGEEILLDTQCQGLPRPEPQEACSLEPCPPRWKVMSLGPCSASCGLGTARRSVACVQLDQGQDVEVDEAACAALVRPEASVPCLIADCTYRWHVGTWMECSVSCGDGIQRRRDTCLGPQAQAPVPADFCQHLPKPVTVRGCWAGPCVGQGTPSLVPHEEAAAPGRTTATPAGASLEWSQARGLLFSPAPQPRRLLPGPQENSVQSSACGRQHLEPTGTIDMRGPGQADCAVAIGRPLGEVVTLRVLESSLNCSAGDMLLLWGRLTWRKMCRKLLDMTFSSKTNTLVVRQRCGRPGGGVLLRYGSQLAPETFYRECDMQLFGPWGEIVSPSLSPATSNAGGCRLFINVAPHARIAIHALATNMGAGTEGANASYILIRDTHSLRTTAFHGQQVLYWESESSQAEMEFSEGFLKAQASLRGQYWTLQSWVPEMQDPQSWKGKEGT</t>
  </si>
  <si>
    <t>Q7K8Y3</t>
  </si>
  <si>
    <t>ETKVALKLPRFKAEFQVELSEVFQKLGMSRMFSDQAEFGKMLQSPEPLKVSAIIHKAFIEVNEEGTEAAAATGMAVRRKRAIMSPEEPIEFFADHPFTYVLVHQKDLPLFWGSVVRLEENTFASSEHDEL------------------------------</t>
  </si>
  <si>
    <t>MADAAHQEFARRLALFSINVYGKLSGQKPGENIVFSPFSIQTCAAMARLGAENETATQLDQGLGLASSDPEQIAHSFHQVLAAYQDSQILRIANKIFVMDGYQLRQEFDQLLSKQFLSAAQSVDFSKNVQAAATINNWVEQRTNHLIKDLVPADVLNSESRLVLVNAIHFKGTWQHQFAKHLTRPDTFHLDGERTVQVPMMSLKERFRYADLPALDAMALELPYKDSDLSMLIVLPNTKTGLPALEEKLRLTTLSQITQSLYETKVALKLPRFKAEFQVELSEVFQKLGMSRMFSDQAEFGKMLQSPEPLKVSAIIHKAFIEVNEEGTEAAAATGMAVRRKRAIMSPEEPIEFFADHPFTYVLVHQKDLPLFWGSVVRLEENTFASSEHDEL</t>
  </si>
  <si>
    <t>Q80YP5</t>
  </si>
  <si>
    <t>PQKEEDLGPAVHHVYELINQGPSSISQGVLELSCPQALEGQQLLYVTKVTGLSNCTSSYTPNSQGLELDPETSPHHLQKREAPGRSSTASGTQVLKCPEAKCFRLRCEFGPLHRQESRSLQLHFRVWAKTFLQREYQPFSLQCEAVYEALKMPYQILPRQ</t>
  </si>
  <si>
    <t>MGSWTPRSPRSPLHAVLLRWGPRRLPPLLPLLLLLWPPPLQVGGFNLDAEAPAVLSGPPGSLFGFSVEFYRPGRDGVSVLVGAPKANTSQPGVLQGGAVYVCPWGTSPIQCTTIQFDSKGSRILESSLYSAKGEEPVEYKSLQWFGATVRAHGSSILACAPLYSWRTEKDPQNDPVGTCYLSTENFTRILEYAPCRSDFGSAAGQGYCQGGFSAEFTKTGRVVLGGPGSYFWQGQILSATQEQISESYYPEYLINPVQGQLQTRQASSVYDDSYLGYSVAVGEFSGDDTEDFVAGVPKGNLTYGYVTVLNGSDIHSLYNVSGEQMASYFGYAVAATDTNGDGLDDLLVGAPLLMERTADGRPQEVGRVYIYLQRPAGIDPTPTLTLTGQDEFSRFGSSLTPLGDLDQDGYNDVAIGAPFGGEAQQGVVFIFPGGPGGLSTKPSQVLQPLWAAGRTPDFFGSALRGGRDLDGNGYPDLIVGSFGVDKALVYRGRPIISASASLTIFPSMFNPEERSCSLEGNPVSCINLSFCLNASGKHVPNSIGFEVELQLDWQKQKGGVRRALFLTSKQATLTQTLLIQNGAREDCREMKIYLRNESEFRDKLSPIHIALNFSLDPKAPMDSHGLRPVLHYQSKSRIEDKAQILLDCGEDNICVPDLQLDVYGEKKHVYLGDKNALNLTFHAQNLGEGGAYEAELRVTAPLEAEYSGLVRHPGNFSSLSCDYFAVNQSRQLVCDLGNPMKAGTSLWGGLRFTVPHLQDTKKTIQFDFQILSKNLNNSQSNVVSFPLSVEAQAQVSLNGVSKPEAVIFPVSDWNPQDQPQKEEDLGPAVHHVYELINQGPSSISQGVLELSCPQALEGQQLLYVTKVTGLSNCTSSYTPNSQGLELDPETSPHHLQKREAPGRSSTASGTQVLKCPEAKCFRLRCEFGPLHRQESRSLQLHFRVWAKTFLQREYQPFSLQCEAVYEALKMPYQILPRQLPQKKLQVATAVQWTKAEGSNGVPLWIIILAILFGLLLLGLLIYVLYKLGFFKRSLPYGTAMEKAQLKPPATSDA</t>
  </si>
  <si>
    <t>Q84193</t>
  </si>
  <si>
    <t>VLVNSSKGMKISQNFETRYLILSLIPKIEDSNSCGDQQIKQYKRLLDRLIIPLYDGLRLQKDVIVSNQESNENTDPRTKRFFGGVIGTIALGVATSAQITAAVALVEAKQARSDIEKLKEAIRDTNKAVQSVQSSIGNLIVAIKSVQDYVNKEIVPSIAR</t>
  </si>
  <si>
    <t>MPTSILLIITTMIMASFCQIDITKLQHVGVLVNSSKGMKISQNFETRYLILSLIPKIEDSNSCGDQQIKQYKRLLDRLIIPLYDGLRLQKDVIVSNQESNENTDPRTKRFFGGVIGTIALGVATSAQITAAVALVEAKQARSDIEKLKEAIRDTNKAVQSVQSSIGNLIVAIKSVQDYVNKEIVPSIARLGCEAAGLQLGIALTQHYSELTNIFGDNIGSLQEKGIKLQGIASLYRTNITEIFTTSTVDKYDIYDLLFTESIKVRVIDVDLNDYSIALQVRLPLLTRLLNTQIYRVDSISYNIQNREWYIPLPSHIMTKGAFLGGADVKECIEAFSSYICPSDPGFVLNHEMESCLSGNISQCPRTLVKSDIVPRYAFVNGGVVANCITTTCTCNGIGNRINQPPDQGVKIITHKECNTIGINGMLFNTNKEGTLAFYTPNDITLNNSVALDPIDISIELNKAKSDLEESKEWIRRSNQKLDSIGNWHQSSTTIIIVLIMIIILFIINVTIIIIAVKYYRIQKRNRVDQNDKPYVLTNK</t>
  </si>
  <si>
    <t>Q8BMF8</t>
  </si>
  <si>
    <t>GLRGALVAIALLSALNAAGTVFVLCQWRGLSAALRALEAQRGREQREDSALRAFLAELSRAPGRVPEPSQDPMSAARNKRSHNGEPASHIRAESQDMMMMMTYSMVPIRVMIDLCNSTQGICLTGPPGPPGPPGAGGLPGHNGSDGQPGLQGPKGEKGAI</t>
  </si>
  <si>
    <t>MTRAAERGQGATGWGLRGALVAIALLSALNAAGTVFVLCQWRGLSAALRALEAQRGREQREDSALRAFLAELSRAPGRVPEPSQDPMSAARNKRSHNGEPASHIRAESQDMMMMMTYSMVPIRVMIDLCNSTQGICLTGPPGPPGPPGAGGLPGHNGSDGQPGLQGPKGEKGAIGKRGKMGLPGATGNPGEKGEKGDAGELGLPGNEGPPGQKGDKGDKGDVSNDVLLTGAKGDQGPPGPPGPPGPPGPPGSRRSKGPRPPNVFNSQCPGETCVIPNDDTLVGRADEKANERHSPQTESMITSIGNPAQVLKVRETFGTWMRESANKSDDRIWVTEHFSGIMVKEFKDLPALLNSSFTLLHLPHYFHGCGHAVYNNSLYYHKGGSNTIVRFEFGKETPQTLKLENALYFDRKYLFANSKTYFNIAVDEKGIWIIYASSVDGSSILVAQLDERTFSVTQHINTTYPKSKAGNAFIARGILYVTDTKDTRVTFAFDLLGGKQINANFDFRMSQSVLAMLSYNMRDQHLYSWEDGHLMLYPVQFLSAASSQR</t>
  </si>
  <si>
    <t>Q8GI68</t>
  </si>
  <si>
    <t>AEEHLKDLYSHKNINGYSEWDWKWVDEKFGYLFKNSYDALTSRKLGGIIKGSFTNINGTKIVIREGKEIPLPDKKRRGKRSVDSLDARLQNEGIRIENIETQDVPGFRLNSITYNDKKIDIN--------------------------------------</t>
  </si>
  <si>
    <t>MSKKSFAKKVICTSMIAIQCAAVVPHVQAYALTNFEEGGYANYNNASSIKIFGYEDNEDLKAKIIQDPEFITNWANVAHSLGFGWCGGTALPGIGEDFEFKREVGADGKVSYLLSARYNPNDPYASGYRAKDRLSMRISNVRFVIDNDSIKLGTPKVKKLAPLNSASFDLINESKTESKLSKTFNYTTSKTVSKTDNFKFGEKIGVKTSFKVGLEAIVDSKVETSFEFNAEQGWSNTNSTTETKQESTTYTATVSPQTKKRLFLDVLGSQIDIPYEGKIYMEYDIELMGFLRYTGNAREDHTEDRPTVKLKFGKNGMSAEEHLKDLYSHKNINGYSEWDWKWVDEKFGYLFKNSYDALTSRKLGGIIKGSFTNINGTKIVIREGKEIPLPDKKRRGKRSVDSLDARLQNEGIRIENIETQDVPGFRLNSITYNDKKIDIN</t>
  </si>
  <si>
    <t>Q8K4G2</t>
  </si>
  <si>
    <t>CGSRALSALCLLLSVGSAAACLLLGAQAAALHGRVAALEQERELLRHAGPSGALAAWAETHLERLLREKLDGVAKLRTVREAPSECICPPGPPGRRGKPGRRGDPGPPGQSGRDGYPGPLGLDGKPGLPGPKGEKGTPGDFGPRGAQGQDGVAGPPGPPG</t>
  </si>
  <si>
    <t>MGAGERAAGGGGAQDPGAGCGSRALSALCLLLSVGSAAACLLLGAQAAALHGRVAALEQERELLRHAGPSGALAAWAETHLERLLREKLDGVAKLRTVREAPSECICPPGPPGRRGKPGRRGDPGPPGQSGRDGYPGPLGLDGKPGLPGPKGEKGTPGDFGPRGAQGQDGVAGPPGPPGPPGARGPPGDTGKDGPRGAQGPAGPRGEPGQDGEMGPKGPPGPKGEPGIPGKKGDDGMANQPGLPGPPGPKGEPGDVGPRGENGVDGIPGLKGEPGHPGVDGATGPRGAPGLKGEQGDTVVIDYDGRILDALKGPPGPQGAPGPPGIPGAKGELGLPGAPGIDGEKGPKGPKGDPGEPGPAGPKGETGEMGLSGLPGADGPKGEKGESASDHLQESLAQIIVEPGPPGPPGPPGPMGLQGIQGPKGLDGAKGEKGTSGERGPHGLPGPVGPPGLIGLPGTKGEKGRPGEPGLDGFPGPRGEKGDRSERGEKGERGVPGRKGVKGQKGEPGPPGLDQPCPVGPDGLPVPGCWHK</t>
  </si>
  <si>
    <t>Q8N119</t>
  </si>
  <si>
    <t>VWAAWGPSPEGPPETPKGAALAEAVRRFQRANALPASGELDAATLAAMNRPRCGVPDMRPPPPSAPPSPPGPPPRARSRRSPRAPLSLSRRGWQPRGYPDGGAAQAFSKRTLSWRLLGEALSSQLSVADQRRIVALAFRMWSEVTPLDFREDLAAPGAAV</t>
  </si>
  <si>
    <t>MLAASIFRPTLLLCWLAAPWPTQPESLFHSRDRSDLEPSPLRQAKPIADLHAAQRFLSRYGWSGVWAAWGPSPEGPPETPKGAALAEAVRRFQRANALPASGELDAATLAAMNRPRCGVPDMRPPPPSAPPSPPGPPPRARSRRSPRAPLSLSRRGWQPRGYPDGGAAQAFSKRTLSWRLLGEALSSQLSVADQRRIVALAFRMWSEVTPLDFREDLAAPGAAVDIKLGFGRGRHLGCPRAFDGSGQEFAHAWRLGDIHFDDDEHFTPPTSDTGISLLKVAVHEIGHVLGLPHTYRTGSIMQPNYIPQEPAFELDWSDRKAIQKLYGSCEGSFDTAFDWIRKERNQYGEVMVRFSTYFFRNSWYWLYENRNNRTRYGDPIQILTGWPGIPTHNIDAFVHIWTWKRDERYFFQGNQYWRYDSDKDQALTEDEQGKSYPKLISEGFPGIPSPLDTAFYDRRQKLIYFFKESLVFAFDVNRNRVLNSYPKRITEVFPAVIPQNHPFRNIDSAYYSYAYNSIFFFKGNAYWKVVNDKDKQQNSWLPANGLFPKKFISEKWFDVCDVHISTLNM</t>
  </si>
  <si>
    <t>Q8NBP7</t>
  </si>
  <si>
    <t>HVDYIEEDSSVFAQSIPWNLERITPPRYRADEYQPPDGGSLVEVYLLDTSIQSDHREIEGRVMVTDFENVPEEDGTRFHRQASKCDSHGTHLAGVVSGRDAGVAKGASMRSLRVLNCQGKGTVSGTLIGLEFIRKSQLVQPVGPLVVLLPLAGGYSRVLN</t>
  </si>
  <si>
    <t>MGTVSSRRSWWPLPLLLLLLLLLGPAGARA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</t>
  </si>
  <si>
    <t>Q8NFH7</t>
  </si>
  <si>
    <t>PALSVALWLSWGAALGAVACAMALLTQQTELQSLRREVSRLQGTGGPSQNGEGYPWQSLPEQSSDALEAWENGERSRKRRAVLTQKQKKQHSVLHLVPINATSKDDSDVTEVMWQPALRRGRGLQAQGYGVRIQDAGVYLLYSQVLFQDVTFTMGQVVSR</t>
  </si>
  <si>
    <t>MPASSPFFVAPKGPPGNMGGPVREPALSVALWLSWGAALGAVACAMALLTQQTELQSLRREVSRLQGTGGPSQNGEGYPWQSLPEQSSDALEAWENGERSRKRRAVLTQKQKKQHSVLHLVPINATSKDDSDVTEVMWQPALRRGRGLQAQGYGVRIQDAGVYLLYSQVLFQDVTFTMGQVVSREGQGRQETLFRCIRSMPSHPDRAYNSCYSAGVFHLHQGDILSVIIPRARAKLNLSPHGTFLGFVKL</t>
  </si>
  <si>
    <t>Q8V1Q2</t>
  </si>
  <si>
    <t>LAAAGIVVTGDKAVNVYTSSQTGSIIVKLLPNMPRDKEACAKAPLEAYNRTLTTLLTPLGDSIRKIQGSVSTSGGRRQKRLIGAIIGSVALGVATAAQITAAAALIQANQNAANILRLKESIAATNEAVHEVTDGLSQLSVAVGKMQQFVNDQFNNTARE</t>
  </si>
  <si>
    <t>MGSRPSTRIPAPLMLITRIMLMLGCIRPTSSLDGRPLAAAGIVVTGDKAVNVYTSSQTGSIIVKLLPNMPRDKEACAKAPLEAYNRTLTTLLTPLGDSIRKIQGSVSTSGGRRQKRLIGAIIGSVALGVATAAQITAAAALIQANQNAANILRLKESIAATNEAVHEVTDGLSQLSVAVGKMQQFVNDQFNNTARELDCIKITQQVGVELNLYLTELTTVFGPQITSPALTQLTIQALYNLAGGNMDYLLTKLGIGNNQLSSLIGSGLITGYPILYDSQTQLLGIQVNLPSVGNLNNMRATYLETLSVSTTKGYASALVPKVVTQVGSVIEELDTSYCIESDLDLYCTRIVTFPMSPGIYSCLSGNTSACMYSKTEGALTTPYMALKGSVIANCKITTCRCTDPPGIISQNYGEAVSLIDRHSCNVLSLDGITLRLSGEFDATYQKNISILDSQVIVTGNLDISTELGNVNNSISNALDKLAESNSKLEKVNVRLTSTSALITYIVLTVISLVFGALSLGLACYLMYKQKAQQKTLLWLGNNTLDQMRATT</t>
  </si>
  <si>
    <t>Q8WXS8</t>
  </si>
  <si>
    <t>NCDGLAGLIRTDSTDFFIEPLERGQQEKEASGRTHVVYRREAVQQEWAEPDGDLHNEAFGLGDLPNLLGLVGDQLGDTERKRRHAKPGSYSIEVLLVVDDSVVRFHGKEHVQNYVLTLMNIVDEIYHDESLGVHINIALVRLIMVGYRQSLSLIERGNPS</t>
  </si>
  <si>
    <t>MAPLRALLSYLLPLHCALCAAAGSRTPELHLSGKLSDYGVTVPCSTDFRGRFLSHVVSGPAAASAGSMVVDTPPTLPRHSSHLRVARSPLHPGGTLWPGRVGRHSLYFNVTVFGKELHLRLRPNRRLVVPGSSVEWQEDFRELFRQPLRQECVYTGGVTGMPGAAVAISNCDGLAGLIRTDSTDFFIEPLERGQQEKEASGRTHVVYRREAVQQEWAEPDGDLHNEAFGLGDLPNLLGLVGDQLGDTERKRRHAKPGSYSIEVLLVVDDSVVRFHGKEHVQNYVLTLMNIVDEIYHDESLGVHINIALVRLIMVGYRQSLSLIERGNPSRSLEQVCRWAHSQQRQDPSHAEHHDHVVFLTRQDFGPSGYAPVTGMCHPLRSCALNHEDGFSSAFVIAHETGHVLGMEHDGQGNGCADETSLGSVMAPLVQAAFHRFHWSRCSKLELSRYLPSYDCLLDDPFDPAWPQPPELPGINYSMDEQCRFDFGSGYQTCLAFRTFEPCKQLWCSHPDNPYFCKTKKGPPLDGTECAPGKWCFKGHCIWKSPEQTYGQDGGWSSWTKFGSCSRSCGGGVRSRSRSCNNPSPAYGGRLCLGPMFEYQVCNSEECPGTYEDFRAQQCAKRNSYYVHQNAKHSWVPYEPDDDAQKCELICQSADTGDVVFMNQVVHDGTRCSYRDPYSVCARGECVPVGCDKEVGSMKADDKCGVCGGDNSHCRTVKGTLGKASKQAGALKLVQIPAGARHIQIEALEKSPHRIVVKNQVTGSFILNPKGKEATSRTFTAMGLEWEDAVEDAKESLKTSGPLPEAIAILALPPTEGGPRSSLAYKYVIHEDLLPLIGSNNVLLEEMDTYEWALKSWAPCSKACGGGIQFTKYGCRRRRDHHMVQRHLCDHKKRPKPIRRRCNQHPCSQPVWVTEEWGACSRSCGKLGVQTRGIQCLLPLSNGTHKVMPAKACAGDRPEARRPCLRVPCPAQWRLGAWSQCSATCGEGIQQRQVVCRTNANSLGHCEGDRPDTVQVCSLPACGGNHQNSTVRADVWELGTPEGQWVPQSEPLHPINKISSTEPCTGDRSVFCQMEVLDRYCSIPGYHRLCCVSCIKKASGPNPGPDPGPTSLPPFSTPGSPLPGPQDPADAAEPPGKPTGSEDHQHGRATQLPGALDTSSPGTQHPFAPETPIPGASWSISPTTPGGLPWGWTQTPTPVPEDKGQPGEDLRHPGTSLPAASPVT</t>
  </si>
  <si>
    <t>Q91000</t>
  </si>
  <si>
    <t>RIYTNTWAVLVPAGPLEANRLARKHGFLNLGPIFGDYYHFQHRGVVKRSLSPHQPWHSRLAREPQVHWLEQQVAKRRTKRDIFMEPTDPKFPQQWYLYNTNQRDLNVRQAWEQGYTGKGIVVSILDDGIEKNHPDLEANYDPGASFDVNDQDPDPQPRYT</t>
  </si>
  <si>
    <t>MDLRPCSLLLLWTLVVALALLAREVLAQRIYTNTWAVLVPAGPLEANRLARKHGFLNLGPIFGDYYHFQHRGVVKRSLSPHQPWHSRLAREPQVHWLEQQVAKRRTKRDIFMEPTDPKFPQQWYLYNTNQRDLNVRQAWEQGYTGKGIVVSILDDGIEKNHPDLEANYDPGASFDVNDQDPDPQPRYTQMNDNRHGTRCAGEVAAVANNGICGVGVAYNARIGGVRMLDGEVTDAVEAHSLGLNPNHIHIYSASWGPEDDGKTVDGPARLAEEAFFRGVSQGRGGLGSIFVWASGNGGREHDSCNCDGYTNSIYTLSISSTTQYGNVPWYSEACSSTLATTYSSGNQNEKQIVTTDLRQKCTESHTGTSASAPLAAGIIALALEANKNLTWRDMQHLVVQTSKPAHLNANDWVTNGVGRKVSHSYGYGLLDAGAMVSLARNWITVGPQRKCVIDVLTEPKDIGKRLEVRRKVDACLGKANYISRLEHAQARLTLSYNRRGDLAIHLVSPMGTRSTLLAARPHDYSADGFNDWAFMTTHSWDEDPSGEWLLEIENTSDANNYGTLTKFTLVLYGTATDPPGLSNQLESSGCKTLTPSQTCVVCEEGYYLHQKSCLKRCPPGFAPGVQNTHYNLENSMEPIAPQLCLPCHPSCATCTGPGPNQCLTCPAHSHFSSLDLSCSHQTQSSRASPALVEGEGQSEAPPPANPLVLIASLSCVLIVVIFITVFLVLQVRSGFSLRGVKVYALDSGIISYKGLPSDIWQEEGPSESDIEECEVHNERTAFIRDQSAL</t>
  </si>
  <si>
    <t>Q92673</t>
  </si>
  <si>
    <t>ATRSSRRESRLPFLFTLVALLPPGALCEVWTQRLHGGSAPLPQDRGFLVVQGDPRELRLWARGDARGASRADEKPLRRKRSAALQPEPIKVYGQVSLNDSHNQMVVHWAGEKSNVIVALARDSLALARPKSSDVYVSYDYGKSFKKISDKLNFGLGNRSE</t>
  </si>
  <si>
    <t>MATRSSRRESRLPFLFTLVALLPPGALCEVWTQRLHGGSAPLPQDRGFLVVQGDPRELRLWARGDARGASRADEKPLRRKRSAALQPEPIKVYGQVSLNDSHNQMVVHWAGEKSNVIVALARDSLALARPKSSDVYVSYDYGKSFKKISDKLNFGLGNRSEAVIAQFYHSPADNKRYIFADAYAQYLWITFDFCNTLQGFSIPFRAADLLLHSKASNLLLGFDRSHPNKQLWKSDDFGQTWIMIQEHVKSFSWGIDPYDKPNTIYIERHEPSGYSTVFRSTDFFQSRENQEVILEEVRDFQLRDKYMFATKVVHLLGSEQQSSVQLWVSFGRKPMRAAQFVTRHPINEYYIADASEDQVFVCVSHSNNRTNLYISEAEGLKFSLSLENVLYYSPGGAGSDTLVRYFANEPFADFHRVEGLQGVYIATLINGSMNEENMRSVITFDKGGTWEFLQAPAFTGYGEKINCELSQGCSLHLAQRLSQLLNLQLRRMPILSKESAPGLIIATGSVGKNLASKTNVYISSSAGARWREALPGPHYYTWGDHGGIITAIAQGMETNELKYSTNEGETWKTFIFSEKPVFVYGLLTEPGEKSTVFTIFGSNKENVHSWLILQVNATDALGVPCTENDYKLWSPSDERGNECLLGHKTVFKRRTPHATCFNGEDFDRPVVVSNCSCTREDYECDFGFKMSEDLSLEVCVPDPEFSGKSYSPPVPCPVGSTYRRTRGYRKISGDTCSGGDVEARLEGELVPCPLAEENEFILYAVRKSIYRYDLASGATEQLPLTGLRAAVALDFDYEHNCLYWSDLALDVIQRLCLNGSTGQEVIINSGLETVEALAFEPLSQLLYWVDAGFKKIEVANPDGDFRLTIVNSSVLDRPRALVLVPQEGVMFWTDWGDLKPGIYRSNMDGSAAYHLVSEDVKWPNGISVDDQWIYWTDAYLECIERITFSGQQRSVILDNLPHPYAIAVFKNEIYWDDWSQLSIFRASKYSGSQMEILANQLTGLMDMKIFYKGKNTGSNACVPRPCSLLCLPKANNSRSCRCPEDVSSSVLPSGDLMCDCPQGYQLKNNTCVKQENTCLRNQYRCSNGNCINSIWWCDFDNDCGDMSDERNCPTTICDLDTQFRCQESGTCIPLSYKCDLEDDCGDNSDESHCEMHQCRSDEYNCSSGMCIRSSWVCDGDNDCRDWSDEANCTAIYHTCEASNFQCRNGHCIPQRWACDGDTDCQDGSDEDPVNCEKKCNGFRCPNGTCIPSSKHCDGLRDCSDGSDEQHCEPLCTHFMDFVCKNRQQCLFHSMVCDGIIQCRDGSDEDAAFAGCSQDPEFHKVCDEFGFQCQNGVCISLIWKCDGMDDCGDYSDEANCENPTEAPNCSRYFQFRCENGHCIPNRWKCDRENDCGDWSDEKDCGDSHILPFSTPGPSTCLPNYYRCSSGTCVMDTWVCDGYRDCADGSDEEACPLLANVTAASTPTQLGRCDRFEFECHQPKTCIPNWKRCDGHQDCQDGRDEANCPTHSTLTCMSREFQCEDGEACIVLSERCDGFLDCSDESDEKACSDELTVYKVQNLQWTADFSGDVTLTWMRPKKMPSASCVYNVYYRVVGESIWKTLETHSNKTNTVLKVLKPDTTYQVKVQVQCLSKAHNTNDFVTLRTPEGLPDAPRNLQLSLPREAEGVIVGHWAPPIHTHGLIREYIVEYSRSGSKMWASQRAASNFTEIKNLLVNTLYTVRVAAVTSRGIGNWSDSKSITTIKGKVIPPPDIHIDSYGENYLSFTLTMESDIKVNGYVVNLFWAFDTHKQERRTLNFRGSILSHKVGNLTAHTSYEISAWAKTDLGDSPLAFEHVMTRGVRPPAPSLKAKAINQTAVECTWTGPRNVVYGIFYATSFLDLYRNPKSLTTSLHNKTVIVSKDEQYLFLVRVVVPYQGPSSDYVVVKMIPDSRLPPRHLHVVHTGKTSVVIKWESPYDSPDQDLLYAVAVKDLIRKTDRSYKVKSRNSTVEYTLNKLEPGGKYHIIVQLGNMSKDSSIKITTVSLSAPDALKIITENDHVLLFWKSLALKEKHFNESRGYEIHMFDSAMNITAYLGNTTDNFFKISNLKMGHNYTFTVQARCLFGNQICGEPAILLYDELGSGADASATQAARSTDVAAVVVPILFLILLSLGVGFAILYTKHRRLQSSFTAFANSHYSSRLGSAIFSSGDDLGEDDEDAPMITGFSDDVPMVIA</t>
  </si>
  <si>
    <t>Q92838</t>
  </si>
  <si>
    <t>GSGTPGTSGTLSSLGGLDPDSPITSHLGQPSPKQQPLEPGEAALHSDSQDGHQMALLNFFFPDEKPYSEEESRRVRRNKRSKSNEGADGPVKNKKKGKKAGPPGPNGPPGPPGPPGPQGPPGIPGIPGIPGTTVMGPPGPPGPPGPQGPPGLQGPSGAAD</t>
  </si>
  <si>
    <t>MGYPEVERRELLPAAAPRERGSQGCGCGGAPARAGEGNSCLLFLGFFGLSLALHLLTLCCYLELRSELRRERGAESRLGGSGTPGTSGTLSSLGGLDPDSPITSHLGQPSPKQQPLEPGEAALHSDSQDGHQMALLNFFFPDEKPYSEEESRRVRRNKRSKSNEGADGPVKNKKKGKKAGPPGPNGPPGPPGPPGPQGPPGIPGIPGIPGTTVMGPPGPPGPPGPQGPPGLQGPSGAADKAGTRENQPAVVHLQGQGSAIQVKNDLSGGVLNDWSRITMNPKVFKLHPRSGELEVLVDGTYFIYSQVEVYYINFTDFASYEVVVDEKPFLQCTRSIETGKTNYNTCYTAGVCLLKARQKIAVKMVHADISINMSKHTTFFGAIRLGEAPAS</t>
  </si>
  <si>
    <t>Q99075</t>
  </si>
  <si>
    <t>MKLLPSVVLKLFLAAVLSALVTGESLERLRRGLAAGTSNPDPPTVSTDQLLPLGGGRDRKVRDLQEADLDLLRVTLSSKPQALATPNKEEHGKRKKKGKGLGKKRDPCLRKYKDFCIHGECKYVKELRAPSCICHPGYHGERCHGLSLPVENRLYTYDHTTILAVVAVVLSSVCLLVIVGLLMFRYHRRGGYDVENEEKVKLGMTNSH</t>
  </si>
  <si>
    <t>Q9FBI2</t>
  </si>
  <si>
    <t>RQIQRGFRTTLDDLSGRSYVMTAEDVDLTLNWGRLSSVLPDYHGQDSVRVGRISFGSINAILGSVALILNCHHHASRVARMASDEFPSMCPADGRVRGITHNKILWDSSTLGAILMRRTISS--------------------------------------</t>
  </si>
  <si>
    <t>MKIIIFRVLTFFFVIFSVNVVAKEFTLDFSTAKTYVDSLNVIRSAIGTPLQTISSGGTSLLMIDSGTGDNLFAVDVRGIDPEEGRFNNLRLIVERNNLYVTGFVNRTNNVFYRFADFSHVTFPGTTAVTLSGDSSYTTLQRVAGISRTGMQINRHSLTTSYLDLMSHSGTSLTQSVARAMLRFVTVTAEALRFRQIQRGFRTTLDDLSGRSYVMTAEDVDLTLNWGRLSSVLPDYHGQDSVRVGRISFGSINAILGSVALILNCHHHASRVARMASDEFPSMCPADGRVRGITHNKILWDSSTLGAILMRRTISS</t>
  </si>
  <si>
    <t>Q9GZP0</t>
  </si>
  <si>
    <t>ASETNWESVTSSISGVSYNSPSVTDPTLIADALDKKIAEFDTVEDLLKYFNPESWQEDLENMYLDTPRYRGRSYHDRKSKVDLDRLNDDAKRYSCTPRNYSVNIREELKLANVVFFPRCLLVQRCGGNCGCGTVNWRSCTCNSGKTVKKYHEVLQFEPGH</t>
  </si>
  <si>
    <t>MHRLIFVYTLICANFCSCRDTSATPQSASIKALRNANLRRDESNHLTDLYRRDETIQVKGNGYVQSPRFPNSYPRNLLLTWRLHSQENTRIQLVFDNQFGLEEAENDICRYDFVEVEDISETSTIIRGRWCGHKEVPPRIKSRTNQIKITFKSDDYFVAKPGFKIYYSLLEDFQPAAASETNWESVTSSISGVSYNSPSVTDPTLIADALDKKIAEFDTVEDLLKYFNPESWQEDLENMYLDTPRYRGRSYHDRKSKVDLDRLNDDAKRYSCTPRNYSVNIREELKLANVVFFPRCLLVQRCGGNCGCGTVNWRSCTCNSGKTVKKYHEVLQFEPGHIKRRGRAKTMALVDIQLDHHERCDCICSSRPPR</t>
  </si>
  <si>
    <t>Q9GZV9</t>
  </si>
  <si>
    <t>GNIFGSHYFDPENCRFQHQTLENGYDVYHSPQYHFLVSLGRAKRAFLPGMNPPPYSQFLSRRNEIPLIHFNTPIPRRHTRSAEDDSERDPLNVLKPRARMTPAPASCSQELPSAEDNSPMASDPLGVVRGGRVNTHAGGTGPEGCRPFAKFI--------</t>
  </si>
  <si>
    <t>MLGARLRLWVCALCSVCSMSVLRAYPNASPLLGSSWGGLIHLYTATARNSYHLQIHKNGHVDGAPHQTIYSALMIRSEDAGFVVITGVMSRRYLCMDFRGNIFGSHYFDPENCRFQHQTLENGYDVYHSPQYHFLVSLGRAKRAFLPGMNPPPYSQFLSRRNEIPLIHFNTPIPRRHTRSAEDDSERDPLNVLKPRARMTPAPASCSQELPSAEDNSPMASDPLGVVRGGRVNTHAGGTGPEGCRPFAKFI</t>
  </si>
  <si>
    <t>Q9H013</t>
  </si>
  <si>
    <t>LSSVTLSTCRGIRGLITVSSNLSYVIEPLPDSKGQHLIYRSEHLKPPPGNCGFEHSKPTTRDWALQFTQQTKKRPRRMKREDLNSMKYVELYLVADYLEFQKNRRDQDATKHKLIEIANYVDKFYRSLNIRIALVGLEVWTHGNMCEVSENPYSTLWSFL</t>
  </si>
  <si>
    <t>MPGGAGAARLCLLAFALQPLRPRAAREPGWTRGSEEGSPKLQHELIIPQWKTSESPVREKHPLKAELRVMAEGRELILDLEKNEQLFAPSYTETHYTSSGNPQTTTRKLEDHCFYHGTVRETELSSVTLSTCRGIRGLITVSSNLSYVIEPLPDSKGQHLIYRSEHLKPPPGNCGFEHSKPTTRDWALQFTQQTKKRPRRMKREDLNSMKYVELYLVADYLEFQKNRRDQDATKHKLIEIANYVDKFYRSLNIRIALVGLEVWTHGNMCEVSENPYSTLWSFLSWRRKLLAQKYHDNAQLITGMSFHGTTIGLAPLMAMCSVYQSGGVNMDHSENAIGVAATMAHEMGHNFGMTHDSADCCSASAADGGCIMAAATGHPFPKVFNGCNRRELDRYLQSGGGMCLSNMPDTRMLYGGRRCGNGYLEDGEECDCGEEEECNNPCCNASNCTLRPGAECAHGSCCHQCKLLAPGTLCREQARQCDLPEFCTGKSPHCPTNFYQMDGTPCEGGQAYCYNGMCLTYQEQCQQLWGPGARPAPDLCFEKVNVAGDTFGNCGKDMNGEHRKCNMRDAKCGKIQCQSSEARPLESNAVPIDTTIIMNGRQIQCRGTHVYRGPEEEGDMLDPGLVMTGTKCGYNHICFEGQCRNTSFFETEGCGKKCNGHGVCNNNQNCHCLPGWAPPFCNTPGHGGSIDSGPMPPESVGPVVAGVLVAILVLAVLMLMYYCCRQNNKLGQLKPSALPSKLRQQFSCPFRVSQNSGTGHANPTFKLQTPQGKRKVINTPEILRKPSQPPPRPPPDYLRGGSPPAPLPAHLSRAARNSPGPGSQIERTESSRRPPPSRPIPPAPNCIVSQDFSRPRPPQKALPANPVPGRRSLPRPGGASPLRPPGAGPQQSRPLAALAPKVSPREALKVKAGTRGLQGGRCRVEKTKQFMLLVVWTELPEQKPRAKHSCFLVPA</t>
  </si>
  <si>
    <t>Q9H324</t>
  </si>
  <si>
    <t>MAPACQILRWALALGLGLMFEVTHAFRSQDEFLSSLESYEIAFPTRVDHNGALLAFSPPPPRRQRRGTGATAESRLFYKVASPSTHFLLNLTRSSRLLAGHVSVEYWTREGLAWQRAARPHCLYAGHLQGQASTSHVAISTCGGLHGLIVADEEEYLIEPLHGGPKGSRSPEESGPHVVYKRSSLRHPHLDTACGVRDEKPWKGRPWWLRTLKPPPARPLGNETERGQPGLKRSVSRERYVETLVVADKMMVAYHGRRDVEQYVLAIMNIVAKLFQDSSLGSTVNILVTRLILLTEDQPTLEITHHAGKSLDSFCKWQKSIVNHSGHGNAIPENGVANHDTAVLITRYDICIYKNKPCGTLGLAPVGGMCERERSCSVNEDIGLATAFTIAHEIGHTFGMNHDGVGNSCGARGQDPAKLMAAHITMKTNPFVWSSCSRDYITSFLDSGLGLCLNNRPPRQDFVYPTVAPGQAYDADEQCRFQHGVKSRQCKYGEVCSELWCLSKSNRCITNSIPAAEGTLCQTHTIDKGWCYKRVCVPFGSRPEGVDGAWGPWTPWGDCSRTCGGGVSSSSRHCDSPRPTIGGKYCLGERRRHRSCNTDDCPPGSQDFREVQCSEFDSIPFRGKFYKWKTYRGGGVKACSLTCLAEGFNFYTERAAAVVDGTPCRPDTVDICVSGECKHVGCDRVLGSDLREDKCRVCGGDGSACETIEGVFSPASPGAGYEDVVWIPKGSVHIFIQDLNLSLSHLALKGDQESLLLEGLPGTPQPHRLPLAGTTFQLRQGPDQVQSLEALGPINASLIVMVLARTELPALRYRFNAPIARDSLPPYSWHYAPWTKCSAQCAGGSQVQAVECRNQLDSSAVAPHYCSAHSKLPKRQRACNTEPCPPDWVVGNWSLCSRSCDAGVRSRSVVCQRRVSAAEEKALDDSACPQPRPPVLEACHGPTCPPEWAALDWSECTPSCGPGLRHRVVLCKSADHRATLPPAHCSPAAKPPATMRCNLRRCPPARWVAGEWGECSAQCGVGQRQRSVRCTSHTGQASHECTEALRPPTTQQCEAKCDSPTPGDGPEECKDVNKVAYCPLVLKFQFCSRAYFRQMCCKTCHGH</t>
  </si>
  <si>
    <t>GLMFEVTHAFRSQDEFLSSLESYEIAFPTRVDHNGALLAFSPPPPRRQRRGTGATAESRLFYKVASPSTHFLLNLTRSSRLLAGHVSVEYWTREGLAWQRAARPHCLYAGHLQGQASTSHVAISTCGGLHGLIVADEEEYLIEPLHGGPKGSRSPEESGP</t>
  </si>
  <si>
    <t>EEYLIEPLHGGPKGSRSPEESGPHVVYKRSSLRHPHLDTACGVRDEKPWKGRPWWLRTLKPPPARPLGNETERGQPGLKRSVSRERYVETLVVADKMMVAYHGRRDVEQYVLAIMNIVAKLFQDSSLGSTVNILVTRLILLTEDQPTLEITHHAGKSLDS</t>
  </si>
  <si>
    <t>Q9NDH6</t>
  </si>
  <si>
    <t>TPAATLKCGAYTIVYAPIKDQTDPAPRYISGEVTSVTFEKSDNTVKIKVNGQDFSTLSANSSSPTENGGSAGQASSRSRRSLSEETSEAAATVDLFAFTLDGGKRIEVAVPNVEDASKRDKYSLVADDKPFYTGANSGTTNGVYRLNENGDLVDKDNTVL</t>
  </si>
  <si>
    <t>MRLSLIIVLLSVIVSAVFSAPAVPLRGTLKDVPVEGSSSSSSSSSSSSSSSSSSSTSTVAPANKARTGEDAEGSQDSSGTEASGSQGSEEEGSEDDGQTSAASQPTTPAQSEGATTETIEATPKEECGTSFVMWFGEGTPAATLKCGAYTIVYAPIKDQTDPAPRYISGEVTSVTFEKSDNTVKIKVNGQDFSTLSANSSSPTENGGSAGQASSRSRRSLSEETSEAAATVDLFAFTLDGGKRIEVAVPNVEDASKRDKYSLVADDKPFYTGANSGTTNGVYRLNENGDLVDKDNTVLLKDAGSSAFGLRYIVPSVFAIFAALFVL</t>
  </si>
  <si>
    <t>Q9NPA2</t>
  </si>
  <si>
    <t>DVSLGVDWLTRYGYLPPPHPAQAQLQSPEKLRDAIKVMQRFAGLPETGRMDPGTVATMRKPRCSLPDVLGVAGLVRRRRRYALSGSVWKKRTLTWRVRSFPQSSQLSQETVRVLMSYALMAWGMESGLTFHEVDSPQGQEPDILIDFARAFHQDSYPFDG</t>
  </si>
  <si>
    <t>MRLRLRLLALLLLLLAPPARAPKPSAQDVSLGVDWLTRYGYLPPPHPAQAQLQSPEKLRDAIKVMQRFAGLPETGRMDPGTVATMRKPRCSLPDVLGVAGLVRRRRRYALSGSVWKKRTLTWRVRSFPQSSQLSQETVRVLMSYALMAWGMESGLTFHEVDSPQGQEPDILIDFARAFHQDSYPFDGLGGTLAHAFFPGEHPISGDTHFDDEETWTFGSKDGEGTDLFAVAVHEFGHALGLGHSSAPNSIMRPFYQGPVGDPDKYRLSQDDRDGLQQLYGKAPQTPYDKPTRKPLAPPPQPPASPTHSPSFPIPDRCEGNFDAIANIRGETFFFKGPWFWRLQPSGQLVSPRPARLHRFWEGLPAQVRVVQAAYARHRDGRILLFSGPQFWVFQDRQLEGGARPLTELGLPPGEEVDAVFSWPQNGKTYLVRGRQYWRYDEAAARPDPGYPRDLSLWEGAPPSPDDVTVSNAGDTYFFKGAHYWRFPKNSIKTEPDAPQPMGPNWLDCPAPSSGPRAPRPPKATPVSETCDCQCELNQAAGRWPAPIPLLLLPLLVGGVASR</t>
  </si>
  <si>
    <t>Q9NRA1</t>
  </si>
  <si>
    <t>GFCIHYNIVMPQFTEAVSPSVLPPSALPLDLLNNAITAFSTLEDLIRYLEPERWQLDLEDLYRPTWQLLGKAFVFGRKSRVVDLNLLTEEVRLYSCTPRNFSVSIREELKRTDTIFWPGCLLVKRCGGNCACCLHNCNECQCVPSKVTKKYHEVLQLRPK</t>
  </si>
  <si>
    <t>MSLFGLLLLTSALAGQRQGTQAESNLSSKFQFSSNKEQNGVQDPQHERIITVSTNGSIHSPRFPHTYPRNTVLVWRLVAVEENVWIQLTFDERFGLEDPEDDICKYDFVEVEEPSDGTILGRWCGSGTVPGKQISKGNQIRIRFVSDEYFPSEPGFCIHYNIVMPQFTEAVSPSVLPPSALPLDLLNNAITAFSTLEDLIRYLEPERWQLDLEDLYRPTWQLLGKAFVFGRKSRVVDLNLLTEEVRLYSCTPRNFSVSIREELKRTDTIFWPGCLLVKRCGGNCACCLHNCNECQCVPSKVTKKYHEVLQLRPKTGVRGLHKSLTDVALEHHEECDCVCRGSTGG</t>
  </si>
  <si>
    <t>Q9P2N4</t>
  </si>
  <si>
    <t>RRSAPQREPSTGRHACDTSEHKNRHSKDKKKTRARKWGERINLAGDVAALNSGLATEAFSAYGNKTDNTREKRTHRRTKRFLSYPRFVEVLVVADNRMVSYHGENLQHYILTLMSIVASIYKDPSIGNLINIVIVNLIVIHNEQDGPSISFNAQTTLKNF</t>
  </si>
  <si>
    <t>MQFVSWATLLTLLVRDLAEMGSPDAAAAVRKDRLHPRQVKLLETLSEYEIVSPIRVNALGEPFPTNVHFKRTRRSINSATDPWPAFASSSSSSTSSQAHYRLSAFGQQFLFNLTANAGFIAPLFTVTLLGTPGVNQTKFYSEEEAELKHCFYKGYVNTNSEHTAVISLCSGMLGTFRSHDGDYFIEPLQSMDEQEDEEEQNKPHIIYRRSAPQREPSTGRHACDTSEHKNRHSKDKKKTRARKWGERINLAGDVAALNSGLATEAFSAYGNKTDNTREKRTHRRTKRFLSYPRFVEVLVVADNRMVSYHGENLQHYILTLMSIVASIYKDPSIGNLINIVIVNLIVIHNEQDGPSISFNAQTTLKNFCQWQHSKNSPGGIHHDTAVLLTRQDICRAHDKCDTLGLAELGTICDPYRSCSISEDSGLSTAFTIAHELGHVFNMPHDDNNKCKEEGVKSPQHVMAPTLNFYTNPWMWSKCSRKYITEFLDTGYGECLLNEPESRPYPLPVQLPGILYNVNKQCELIFGPGSQVCPYMMQCRRLWCNNVNGVHKGCRTQHTPWADGTECEPGKHCKYGFCVPKEMDVPVTDGSWGSWSPFGTCSRTCGGGIKTAIRECNRPEPKNGGKYCVGRRMKFKSCNTEPCLKQKRDFRDEQCAHFDGKHFNINGLLPNVRWVPKYSGILMKDRCKLFCRVAGNTAYYQLRDRVIDGTPCGQDTNDICVQGLCRQAGCDHVLNSKARRDKCGVCGGDNSSCKTVAGTFNTVHYGYNTVVRIPAGATNIDVRQHSFSGETDDDNYLALSSSKGEFLLNGNFVVTMAKREIRIGNAVVEYSGSETAVERINSTDRIEQELLLQVLSVGKLYNPDVRYSFNIPIEDKPQQFYWNSHGPWQACSKPCQGERKRKLVCTRESDQLTVSDQRCDRLPQPGHITEPCGTDCDLRWHVASRSECSAQCGLGYRTLDIYCAKYSRLDGKTEKVDDGFCSSHPKPSNREKCSGECNTGGWRYSAWTECSKSCDGGTQRRRAICVNTRNDVLDDSKCTHQEKVTIQRCSEFPCPQWKSGDWSECLVTCGKGHKHRQVWCQFGEDRLNDRMCDPETKPTSMQTCQQPECASWQAGPWGQCSVTCGQGYQLRAVKCIIGTYMSVVDDNDCNAATRPTDTQDCELPSCHPPPAAPETRRSTYSAPRTQWRFGSWTPCSATCGKGTRMRYVSCRDENGSVADESACATLPRPVAKEECSVTPCGQWKALDWSSCSVTCGQGRATRQVMCVNYSDHVIDRSECDQDYIPETDQDCSMSPCPQRTPDSGLAQHPFQNEDYRPRSASPSRTHVLGGNQWRTGPWGACSSTCAGGSQRRVVVCQDENGYTANDCVERIKPDEQRACESGPCPQWAYGNWGECTKLCGGGIRTRLVVCQRSNGERFPDLSCEILDKPPDREQCNTHACPHDAAWSTGPWSSCSVSCGRGHKQRNVYCMAKDGSHLESDYCKHLAKPHGHRKCRGGRCPKWKAGAWSQCSVSCGRGVQQRHVGCQIGTHKIARETECNPYTRPESERDCQGPRCPLYTWRAEEWQECTKTCGEGSRYRKVVCVDDNKNEVHGARCDVSKRPVDRESCSLQPCEYVWITGEWSECSVTCGKGYKQRLVSCSEIYTGKENYEYSYQTTINCPGTQPPSVHPCYLRDCPVSATWRVGNWGSCSVSCGVGVMQRSVQCLTNEDQPSHLCHTDLKPEERKTCRNVYNCELPQNCKEVKRLKGASEDGEYFLMIRGKLLKIFCAGMHSDHPKEYVTLVHGDSENFSEVYGHRLHNPTECPYNGSRRDDCQCRKDYTAAGFSSFQKIRIDLTSMQIITTDLQFARTSEGHPVPFATAGDCYSAAKCPQGRFSINLYGTGLSLTESARWISQGNYAVSDIKKSPDGTRVVGKCGGYCGKCTPSSGTGLEVRVL</t>
  </si>
  <si>
    <t>Q9QY05</t>
  </si>
  <si>
    <t>RFTNPVPAGVSQKKGTHTWEPQSLPDYQFEKTELLPKARVFSYHSGKPYVKSVQLQKKSTNKMNTFRSLFWGNHSQRKRRGFADKCCVIGCTKEEMAVACLPFVDF------------------------------------------------------</t>
  </si>
  <si>
    <t>MKQLCCSCLLWLGLLLTPFSREEEEESRPRKLCGRHLLIEVIKLCGQSDWSRFEMEEQSPMTQFFPHYSRKGKAFNPHPSSSAWRRFTNPVPAGVSQKKGTHTWEPQSLPDYQFEKTELLPKARVFSYHSGKPYVKSVQLQKKSTNKMNTFRSLFWGNHSQRKRRGFADKCCVIGCTKEEMAVACLPFVDF</t>
  </si>
  <si>
    <t>Q9R001</t>
  </si>
  <si>
    <t>CGGLDGFFAVKHARYTLKPLLRGSWAEYERIYGDGSSRILHVYNREGFSFEALPPRASCETPASPSGPQESPSVHSRSRRRSALAPQLLDHSAFSPSGNAGPQTWWRRRRRSISRARQVELLLVADSSMARMYGRGLQHYLLTLASIANRLYSHASIENH</t>
  </si>
  <si>
    <t>MRLEWAPLLLLLLLLSASCLSLAADSPAAAPAQDKTRQPQAAAAAAEPDQPQGEETRERGHLQPLAGQRRSGGLVQNIDQLYSGGGKVGYLVYAGGRRFLLDLERDDTVGAAGSIVTAGGGLSASSGHRGHCFYRGTVDGSPRSLAVFDLCGGLDGFFAVKHARYTLKPLLRGSWAEYERIYGDGSSRILHVYNREGFSFEALPPRASCETPASPSGPQESPSVHSRSRRRSALAPQLLDHSAFSPSGNAGPQTWWRRRRRSISRARQVELLLVADSSMARMYGRGLQHYLLTLASIANRLYSHASIENHIRLAVVKVVVLTDKDTSLEVSKNAATTLKNFCKWQHQHNQLGDDHEEHYDAAILFTREDLCGHHSCDTLGMADVGTICSPERSCAVIEDDGLHAAFTVAHEIGHLLGLSHDDSKFCEENFGTTEDKRLMSSILTSIDASKPWSKCTSATITEFLDDGHGNCLLDLPRKQILGPEELPGQTYDATQQCNLTFGPEYSVCPGMDVCARLWCAVVRQGQMVCLTKKLPAVEGTPCGKGRVCLQGKCVDKTKKKYYSTSSHGNWGSWGPWGQCSRSCGGGVQFAYRHCNNPAPRNSGRYCTGKRAIYRSCSVTPCPPNGKSFRHEQCEAKNGYQSDAKGVKTFVEWVPKYAGVLPADVCKLTCRAKGTGYYVVFSPKVTDGTECRPYSNSVCVRGRCVRTGCDGIIGSKLQYDKCGVCGGDNSSCTKIIGTFNKKSKGYTDVVRIPEGATHIKVRQFKAKDQTRFTAYLALKKKTGEYLINGKYMISTSETIIDINGTVMNYSGWSHRDDFLHGMGYSATKEILIVQILATDPTKALDVRYSFFVPKKTTQKVNSVISHGSNKVGPHSTQLQWVTGPWLACSRTCDTGWHTRTVQCQDGNRKLAKGCLLSQRPSAFKQCLLKKC</t>
  </si>
  <si>
    <t>IYGDGSSRILHVYNREGFSFEALPPRASCETPASPSGPQESPSVHSRSRRRSALAPQLLDHSAFSPSGNAGPQTWWRRRRRSISRARQVELLLVADSSMARMYGRGLQHYLLTLASIANRLYSHASIENHIRLAVVKVVVLTDKDTSLEVSKNAATTLKN</t>
  </si>
  <si>
    <t>YGDGSSRILHVYNREGFSFEALPPRASCETPASPSGPQESPSVHSRSRRRSALAPQLLDHSAFSPSGNAGPQTWWRRRRRSISRARQVELLLVADSSMARMYGRGLQHYLLTLASIANRLYSHASIENHIRLAVVKVVVLTDKDTSLEVSKNAATTLKNF</t>
  </si>
  <si>
    <t>Q9R1Q9</t>
  </si>
  <si>
    <t>LGASPLHVDLATLKELKLNASLPALLLIRLPYTASSGLMAPREVLTGNDEVIGQVLSTLKSEDVPYTAALTAVRPSRVARDITMVAGGLGRQLLQTQVASPAIHPPVSYNDTAPRILFWAQNFSVAYKDEWKDLTSLTFGVENLNLTGSFWNDSFAMLSL</t>
  </si>
  <si>
    <t>MMAATVVSRIRTGTGRAPVMWLSLSLVAVAAAVATEQQVPLVLWSSDRNLWAPVADTHEGHITSDMQLSTYLDPALELGPRNVLLFLQDKLSIEDFTAYGGVFGNKQDSAFSNLENALDLAPSSLVLPAVDWYAISTLTTYLQEKLGASPLHVDLATLKELKLNASLPALLLIRLPYTASSGLMAPREVLTGNDEVIGQVLSTLKSEDVPYTAALTAVRPSRVARDITMVAGGLGRQLLQTQVASPAIHPPVSYNDTAPRILFWAQNFSVAYKDEWKDLTSLTFGVENLNLTGSFWNDSFAMLSLTYEPLFGATVTFKFILASRFYPVSARYWFAMERLEIHSNGSVAHFNVSQVTGPSIYSFHCEYVSSVSKKGNLLVTNVPSVWQMTLHNFQIQAFNVTGEQFSYASDCAGFFSPGIWMGLLTTLFMLFIFTYGLHMILSLKTMDRFDDHKGPTITLTQIV</t>
  </si>
  <si>
    <t>Q9UHI8</t>
  </si>
  <si>
    <t>PGEKPPAPLQFHLLRRNRQGDVGGTCGVVDDEPRPTGKAETEDEDEGTEGEDEGAQWSPQDPALQGVGQPTGTGSIRKKRFVSSHRYVETMLVADQSMAEFHGSGLKHYLLTLFSVAARLYKHPSIRNSVSLVVVKILVIHDEQKGPEVTSNAALTLRNF</t>
  </si>
  <si>
    <t>MQRAVPEGFGRRKLGSDMGNAERAPGSRSFGPVPTLLLLAAALLAVSDALGRPSEEDEELVVPELERAPGHGTTRLRLHAFDQQLDLELRPDSSFLAPGFTLQNVGRKSGSETPLPETDLAHCFYSGTVNGDPSSAAALSLCEGVRGAFYLLGEAYFIQPLPAASERLATAAPGEKPPAPLQFHLLRRNRQGDVGGTCGVVDDEPRPTGKAETEDEDEGTEGEDEGAQWSPQDPALQGVGQPTGTGSIRKKRFVSSHRYVETMLVADQSMAEFHGSGLKHYLLTLFSVAARLYKHPSIRNSVSLVVVKILVIHDEQKGPEVTSNAALTLRNFCNWQKQHNPPSDRDAEHYDTAILFTRQDLCGSQTCDTLGMADVGTVCDPSRSCSVIEDDGLQAAFTTAHELGHVFNMPHDDAKQCASLNGVNQDSHMMASMLSNLDHSQPWSPCSAYMITSFLDNGHGECLMDKPQNPIQLPGDLPGTSYDANRQCQFTFGEDSKHCPDAASTCSTLWCTGTSGGVLVCQTKHFPWADGTSCGEGKWCINGKCVNKTDRKHFDTPFHGSWGMWGPWGDCSRTCGGGVQYTMRECDNPVPKNGGKYCEGKRVRYRSCNLEDCPDNNGKTFREEQCEAHNEFSKASFGSGPAVEWIPKYAGVSPKDRCKLICQAKGIGYFFVLQPKVVDGTPCSPDSTSVCVQGQCVKAGCDRIIDSKKKFDKCGVCGGNGSTCKKISGSVTSAKPGYHDIITIPTGATNIEVKQRNQRGSRNNGSFLAIKAADGTYILNGDYTLSTLEQDIMYKGVVLRYSGSSAALERIRSFSPLKEPLTIQVLTVGNALRPKIKYTYFVKKKKESFNAIPTFSAWVIEEWGECSKSCELGWQRRLVECRDINGQPASECAKEVKPASTRPCADHPCPQWQLGEWSSCSKTCGKGYKKRSLKCLSHDGGVLSHESCDPLKKPKHFIDFCTMAECS</t>
  </si>
  <si>
    <t>Q9UKP4</t>
  </si>
  <si>
    <t>MPGGPSPRSPAPLLRPLLLLLCALAPGAPGPAPGRATEGRAALDIVHPVRVDAGGSFLSYELWPRALRKRDVSVRRDAPAFYELQYRGRELRFNLTANQHLLAPGFVSETRRRGGLGRAHIRAHTPACHLLGEVQDPELEGGLAAISACDGLKGVFQLSNEDYFIEPLDSAPARPGHAQPHVVYKRQAPERLAQRGDSSAPSTCGVQVYPELESRRERWEQRQQWRRPRLRRLHQRSVSKEKWVETLVVADAKMVEYHGQPQVESYVLTIMNMVAGLFHDPSIGNPIHITIVRLVLLEDEEEDLKITHHADNTLKSFCKWQKSINMKGDAHPLHHDTAILLTRKDLCAAMNRPCETLGLSHVAGMCQPHRSCSINEDTGLPLAFTVAHELGHSFGIQHDGSGNDCEPVGKRPFIMSPQLLYDAAPLTWSRCSRQYITRFLDRGWGLCLDDPPAKDIIDFPSVPPGVLYDVSHQCRLQYGAYSAFCEDMDNVCHTLWCSVGTTCHSKLDAAVDGTRCGENKWCLSGECVPVGFRPEAVDGGWSGWSAWSICSRSCGMGVQSAERQCTQPTPKYKGRYCVGERKRFRLCNLQACPAGRPSFRHVQCSHFDAMLYKGQLHTWVPVVNDVNPCELHCRPANEYFAEKLRDAVVDGTPCYQVRASRDLCINGICKNVGCDFEIDSGAMEDRCGVCHGNGSTCHTVSGTFEEAEGLGYVDVGLIPAGAREIRIQEVAEAANFLALRSEDPEKYFLNGGWTIQWNGDYQVAGTTFTYARRGNWENLTSPGPTKEPVWIQLLFQESNPGVHYEYTIHREAGGHDEVPPPVFSWHYGPWTKCTVTCGRGVQRQNVYCLERQAGPVDEEHCDPLGRPDDQQRKCSEQPCPARWWAGEWQLCSSSCGPGGLSRRAVLCIRSVGLDEQSALEPPACEHLPRPPTETPCNRHVPCPATWAVGNWSQCSVTCGEGTQRRNVLCTNDTGVPCDEAQQPASEVTCSLPLCRWPLGTLGPEGSGSGSSSHELFNEADFIPHHLAPRPSPASSPKPGTMGNAIEEEAPELDLPGPVFVDDFYYDYNFINFHEDLSYGPSEEPDLDLAGTGDRTPPPHSHPAAPSTGSPVPATEPPAAKEEGVLGPWSPSPWPSQAGRSPPPPSEQTPGNPLINFLPEEDTPIGAPDLGLPSLSWPRVSTDGLQTPATPESQNDFPVGKDSQSQLPPPWRDRTNEVFKDDEEPKGRGAPHLPPRPSSTLPPLSPVGSTHSSPSPDVAELWTGGTVAWEPALEGGLGPVDSELWPTVGVASLLPPPIAPLPEMKVRDSSLEPGTPSFPTPGPGSWDLQTVAVWGTFLPTTLTGLGHMPEPALNPGPKGQPESLSPEVPLSSRLLSTPAWDSPANSHRVPETQPLAPSLAEAGPPADPLVVRNAGWQAGNWSECSTTCGLGAVWRPVRCSSGRDEDCAPAGRPQPARRCHLRPCATWHSGNWSKCSRSCGGGSSVRDVQCVDTRDLRPLRPFHCQPGPAKPPAHRPCGAQPCLSWYTSSWRECSEACGGGEQQRLVTCPEPGLCEEALRPNTTRPCNTHPCTQWVVGPWGQCSGPCGGGVQRRLVKCVNTQTGLPEEDSDQCGHEAWPESSRPCGTEDCEPVEPPRCERDRLSFGFCETLRLLGRCQLPTIRTQCCRSCSPPSHGAPSRGHQRVARR</t>
  </si>
  <si>
    <t>LLRPLLLLLCALAPGAPGPAPGRATEGRAALDIVHPVRVDAGGSFLSYELWPRALRKRDVSVRRDAPAFYELQYRGRELRFNLTANQHLLAPGFVSETRRRGGLGRAHIRAHTPACHLLGEVQDPELEGGLAAISACDGLKGVFQLSNEDYFIEPLDSAP</t>
  </si>
  <si>
    <t>LEGGLAAISACDGLKGVFQLSNEDYFIEPLDSAPARPGHAQPHVVYKRQAPERLAQRGDSSAPSTCGVQVYPELESRRERWEQRQQWRRPRLRRLHQRSVSKEKWVETLVVADAKMVEYHGQPQVESYVLTIMNMVAGLFHDPSIGNPIHITIVRLVLLE</t>
  </si>
  <si>
    <t>DGLKGVFQLSNEDYFIEPLDSAPARPGHAQPHVVYKRQAPERLAQRGDSSAPSTCGVQVYPELESRRERWEQRQQWRRPRLRRLHQRSVSKEKWVETLVVADAKMVEYHGQPQVESYVLTIMNMVAGLFHDPSIGNPIHITIVRLVLLEDEEEDLKITHH</t>
  </si>
  <si>
    <t>KGVFQLSNEDYFIEPLDSAPARPGHAQPHVVYKRQAPERLAQRGDSSAPSTCGVQVYPELESRRERWEQRQQWRRPRLRRLHQRSVSKEKWVETLVVADAKMVEYHGQPQVESYVLTIMNMVAGLFHDPSIGNPIHITIVRLVLLEDEEEDLKITHHADN</t>
  </si>
  <si>
    <t>QLSNEDYFIEPLDSAPARPGHAQPHVVYKRQAPERLAQRGDSSAPSTCGVQVYPELESRRERWEQRQQWRRPRLRRLHQRSVSKEKWVETLVVADAKMVEYHGQPQVESYVLTIMNMVAGLFHDPSIGNPIHITIVRLVLLEDEEEDLKITHHADNTLKS</t>
  </si>
  <si>
    <t>Q9UKP5</t>
  </si>
  <si>
    <t>MEILWKTLTWILSLIMASSEFHSDHRLSYSSQEEFLTYLEHYQLTIPIRVDQNGAFLSFTVKNDKHSRRRRSMDPIDPQQAVSKLFFKLSAYGKHFHLNLTLNTDFVSKHFTVEYWGKDGPQWKHDFLDNCHYTGYLQDQRSTTKVALSNCVGLHGVIATEDEEYFIEPLKNTTEDSKHFSYENGHPHVIYKKSALQQRHLYDHSHCGVSDFTRSGKPWWLNDTSTVSYSLPINNTHIHHRQKRSVSIERFVETLVVADKMMVGYHGRKDIEHYILSVMNIVAKLYRDSSLGNVVNIIVARLIVLTEDQPNLEINHHADKSLDSFCKWQKSILSHQSDGNTIPENGIAHHDNAVLITRYDICTYKNKPCGTLGLASVAGMCEPERSCSINEDIGLGSAFTIAHEIGHNFGMNHDGIGNSCGTKGHEAAKLMAAHITANTNPFSWSACSRDYITSFLDSGRGTCLDNEPPKRDFLYPAVAPGQVYDADEQCRFQYGATSRQCKYGEVCRELWCLSKSNRCVTNSIPAAEGTLCQTGNIEKGWCYQGDCVPFGTWPQSIDGGWGPWSLWGECSRTCGGGVSSSLRHCDSPAPSGGGKYCLGERKRYRSCNTDPCPLGSRDFREKQCADFDNMPFRGKYYNWKPYTGGGVKPCALNCLAEGYNFYTERAPAVIDGTQCNADSLDICINGECKHVGCDNILGSDAREDRCRVCGGDGSTCDAIEGFFNDSLPRGGYMEVVQIPRGSVHIEVREVAMSKNYIALKSEGDDYYINGAWTIDWPRKFDVAGTAFHYKRPTDEPESLEALGPTSENLIVMVLLQEQNLGIRYKFNVPITRTGSGDNEVGFTWNHQPWSECSATCAGGVQRQEVVCKRLDDNSIVQNNYCDPDSKPPENQRACNTEPCPPEWFIGDWLECSKTCDGGMRTRAVLCIRKIGPSEEETLDYSGCLTHRPVEKEPCNNQSCPPQWVALDWSECTPKCGPGFKHRIVLCKSSDLSKTFPAAQCPEESKPPVRIRCSLGRCPPPRWVTGDWGQCSAQCGLGQQMRTVQCLSYTGQASSDCLETVRPPSMQQCESKCDSTPISNTEECKDVNKVAYCPLVLKFKFCSRAYFRQMCCKTCQGH</t>
  </si>
  <si>
    <t>YFIEPLKNTTEDSKHFSYENGHPHVIYKKSALQQRHLYDHSHCGVSDFTRSGKPWWLNDTSTVSYSLPINNTHIHHRQKRSVSIERFVETLVVADKMMVGYHGRKDIEHYILSVMNIVAKLYRDSSLGNVVNIIVARLIVLTEDQPNLEINHHADKSLDS</t>
  </si>
  <si>
    <t>Q9WMU9</t>
  </si>
  <si>
    <t>GKAIYAPPIAGSINCSSNITGMILTRDGGNNTHNETFRPGGGDMRDNWRSELYKYKVVQIEPLGIAPTRARRRVVQREKRAVGLGAVFFGFLGAAGSTMGAASITLTVQARQLLSGIVQQQSNLLRAIEAQQHLLQLTVWGIKQLRARILAVERYLKDQQ</t>
  </si>
  <si>
    <t>KLWVTVYYGVPVWKEATPTLFCASDAKAYEKEVHNVWATHACVPTDPNPQEVEMENVTENFNMWKNNMVEQMHTDIISLWDESLKPCVELTPLCVTLNCTDYKGTNSTNNATSTVVSPAEIKNCSFNITTEIKDKKKKESALFYRLDVLPLNGEGNNSSTEYRLINCNTSTITQTCPKVTFEPIPIHYCAPAGFAILKCKDKRFNGTGPCKNVSTVQCTHGIKPVVSTQLLLNGSLAEEEIIIRSENITDNTKNIIVQLNETVQINCTRPNNNTRKSIHMGPGKAFYTTGDIIGDIRQAHCNISGEKWNMTLSRVKEKLKEHFKNGTITFKPPNPGGDPEILTHMFNCAGEFFYCNTTKLFNETGENGTITLPCRIKQIINMWQKVGKAIYAPPIAGSINCSSNITGMILTRDGGNNTHNETFRPGGGDMRDNWRSELYKYKVVQIEPLGIAPTRARRRVVQREKRAVGLGAVFFGFLGAAGSTMGAASITLTVQARQLLSGIVQQQSNLLRAIEAQQHLLQLTVWGIKQLRARILAVERYLKDQQLLGIWGCSGKLICTTNVPWNSSWSNKSWEEIWNNMTWMEWEKEIGNYSDTIYKLIEESQTQQEKNEQDLLALDKWASLWNWFDITKWLWYIKIFIMIIGGLIGLRIAFAVLSVVNRVRQGYSPLSFQTLIPTSRGADRPEGIEEEGGEQDKNRSVRLVSGFLALAWDDLRNLCLFSYRQLRNLILIVTRILERGLRGGWEALKYLWNLVQYWSQELKNSAISLLNTTAIAVAGGTDRIIEIGQRAFRALLHIPRR</t>
  </si>
  <si>
    <t>Q9WU39</t>
  </si>
  <si>
    <t>VALIIWQCALLVFSFYTVSVSIKVHFQKLDFPAVTICNINPYKYSAVSDLLTDLDSETKQALLSLYGVKDVLDSTPRKRREAGSMRSTWEGTPPRFLNLIPLLVFNENEKGKARDFFTGRKRKISGKIIHKASNVMHVHESKKLVGFQLCSNDTSDCATY</t>
  </si>
  <si>
    <t>MAPGEKIKAKIKKNLPVRGPQAPTIKDLMHWYCLNTNTHGCRRIVVSRGRLRRLLWIAFTLTAVALIIWQCALLVFSFYTVSVSIKVHFQKLDFPAVTICNINPYKYSAVSDLLTDLDSETKQALLSLYGVKDVLDSTPRKRREAGSMRSTWEGTPPRFLNLIPLLVFNENEKGKARDFFTGRKRKISGKIIHKASNVMHVHESKKLVGFQLCSNDTSDCATYTFSSGINAIQEWYKLHYMNIMAQVPLEKKINMSYSAEELLVTCFFDGMSCDARNFTLFHHPMYGNCYTFNNRENATILSTSMGGSEYGLQVILYINEDEYNPFLVSSTGAKVLVHQQNEYPFIEDVGTEIETAMSTSIGMHLTESFKLSEPYSQCTEDGSDVPVTNIYNAAYSLQICLYSCFQTKMVEKCGCAQYSQPLPPAANYCNYQQHPNWMYCYYQLYQAFVREELGCQSVCKQSCSFKEWTLTTSLAQWPSEASEKWLLNVLTWDQSQQINKKLNKTDLAKLLIFYKDLNQRSIMESPANSIEMLLSNFGGQLGLWMSCSVVCVIEIIEVFFIDFFSIIARRQWQKAKDWWARRRTPPSTETPSSQQGQDNPALDTDDDLPTFTSAMRLPPAPEAPVPGTPPPRYNTLRLDSAFSSQLTDTQLTNEF</t>
  </si>
  <si>
    <t>Q9Y1A6</t>
  </si>
  <si>
    <t>KHFTDLWAVHVKGGEEVAKAVAVRHGFIYKGQIMPDYYHFQHRKVAKRSTFASIHYHQPLAEDSDVLWVEQQVAKSRQKRSVHFNDPKWPLMWYLNRGSGLDMNVRKAWDMGYTGKGVVVTILDDGIEKDHPDLYRNYDENASYDVNGHDPDPQPRYDLS</t>
  </si>
  <si>
    <t>MHGSIHVVKVLVFRFFLLLETVVGKHFTDLWAVHVKGGEEVAKAVAVRHGFIYKGQIMPDYYHFQHRKVAKRSTFASIHYHQPLAEDSDVLWVEQQVAKSRQKRSVHFNDPKWPLMWYLNRGSGLDMNVRKAWDMGYTGKGVVVTILDDGIEKDHPDLYRNYDENASYDVNGHDPDPQPRYDLSNENRHGTRCAGEVAAQADNHVCSVGVAFNAKIGGVRMLDGDVTDSVEAQSLGLNPQHIHIYSASWGPDDDGRTVDGPATLARKAFYDGITKGRGGLGSIFVWASGNGGRDSDNCNCDGYTNSIYTLSISSATENGNIPWYSEACSSTLATTYSSGSGGEKQIVTTDLRKGCTETHTGTSASAPLAAGLIALALEANPSLTWRDMQHIVVETAKPHDLNADDWVINGVGKRVSHSFGFGLMDAAAMVSLARNWTSVPAQHICEIRSPDHNSRTIPMNGRVSVLLNTDGCDGTVNHVKYLEHVQARITMTSSKRGEIRIFLSSPSLTRSTLLARRGKDVSREGFNNWAFMTTHNWGEGPKGDWTLEIENGISSSRPLKLRDWVLVLYGTDSPPRKSPTSIRSTYNEYGPVRPHTEVKGPNSFHKDYEMESEEDYDQETTPITTSTTTRTTPATPYHGGQHQYYPWSGHQNRQQATPITSNSPRKNLNSFYFWETYYPAYASQPNHAHSSDSQHRHNHPEHTCVYETLAKKSNISAIQYMRKKRPELTPAELKEWTLVMMGTSGHHMKRNGSQASSHGGEQIFKCAGVTTNGICIECKPGFFKMGDNCVAHCPQHYYGSVQAVQMAASSKMTTTKPLLHTQGVCKPCHDTCLNCKGSTATDCFQCASGFERKGELCEKKMIWDLLDPDVMKHLAWAIILCIAAILLFSVVFGILQARDRGRLCWKSKPNYVPDWGRGHYDGVTPNYAMQDSDNEAEFSPPAKTQTLFPQTIGFKHHHCNSRTAQNV</t>
  </si>
  <si>
    <t>Q9Y275</t>
  </si>
  <si>
    <t>LALLSCCLTVVSFYQVAALQGDLASLRAELQGHHAEKLPAGAGAPKAGLEEAPAVTAGLKIFEPPAPGEGNSSQNSRNKRAVQGPEETVTQDCLQLIADSETPTIQKGSYTFVPWLLSFKRGSALEEKENKILVKETGYFFIYGQVLYTDKTYAMGHLIQ</t>
  </si>
  <si>
    <t>MDDSTEREQSRLTSCLKKREEMKLKECVSILPRKESPSVRSSKDGKLLAATLLLALLSCCLTVVSFYQVAALQGDLASLRAELQGHHAEKLPAGAGAPKAGLEEAPAVTAGLKIFEPPAPGEGNSSQNSRNKRAVQGPEETVTQDCLQLIADSETPTIQKGSYTFVPWLLSFKRGSALEEKENKILVKETGYFFIYGQVLYTDKTYAMGHLIQRKKVHVFGDELSLVTLFRCIQNMPETLPNNSCYSAGIAKLEEGDELQLAIPRENAQISLDGDVTFFGALKLL</t>
  </si>
  <si>
    <t>Q9Y287</t>
  </si>
  <si>
    <t>CYVIPLNTSIVMPPRNLLELLINIKAGTYLPQSYLIHEHMVITDRIENIDHLGFFIYRLCHDKETYKLQRRETIKGIQKREASNCFAIRHFENKFAVETLICS---------------------------------------------------------</t>
  </si>
  <si>
    <t>MVKVTFNSALAQKEAKKDEPKSGEEALIIPPDAVAVDCKDPDDVVPVGQRRAWCWCMCFGLAFMLAGVILGGAYLYKYFALQPDDVYYCGIKYIKDDVILNEPSADAPAALYQTIEENIKIFEEEEVEFISVPVPEFADSDPANIVHDFNKKLTAYLDLNLDKCYVIPLNTSIVMPPRNLLELLINIKAGTYLPQSYLIHEHMVITDRIENIDHLGFFIYRLCHDKETYKLQRRETIKGIQKREASNCFAIRHFENKFAVETLICS</t>
  </si>
  <si>
    <t>Q9Y5R2</t>
  </si>
  <si>
    <t>EAPFAGQNWLKSYGYLLPYDSRASALHSAKALQSAVSTMQQFYGIPVTGVLDQTTIEWMKKPRCGVPDHPHLSRRRRNKRYALTGQKWRQKHITYSIHNYTPKVGELDTRKAIRQAFDVWQKVTPLTFEEVPYHEIKSDRKEADIMIFFASGFHGDSSPF</t>
  </si>
  <si>
    <t>MPRSRGGRAAPGPPPPPPPPGQAPRWSRWRVPGRLLLLLLPALCCLPGAARAAAAAAGAGNRAAVAVAVARADEAEAPFAGQNWLKSYGYLLPYDSRASALHSAKALQSAVSTMQQFYGIPVTGVLDQTTIEWMKKPRCGVPDHPHLSRRRRNKRYALTGQKWRQKHITYSIHNYTPKVGELDTRKAIRQAFDVWQKVTPLTFEEVPYHEIKSDRKEADIMIFFASGFHGDSSPFDGEGGFLAHAYFPGPGIGGDTHFDSDEPWTLGNANHDGNDLFLVAVHELGHALGLEHSSDPSAIMAPFYQYMETHNFKLPQDDLQGIQKIYGPPAEPLEPTRPLPTLPVRRIHSPSERKHERQPRPPRPPLGDRPSTPGTKPNICDGNFNTVALFRGEMFVFKDRWFWRLRNNRVQEGYPMQIEQFWKGLPARIDAAYERADGRFVFFKGDKYWVFKEVTVEPGYPHSLGELGSCLPREGIDTALRWEPVGKTYFFKGERYWRYSEERRATDPGYPKPITVWKGIPQAPQGAFISKEGYYTYFYKGRDYWKFDNQKLSVEPGYPRNILRDWMGCNQKEVERRKERRLPQDDVDIMVTINDVPGSVNAVAVVIPCILSLCILVLVYTIFQFKNKTGPQPVTYYKRPVQEWV</t>
  </si>
  <si>
    <t>Q9Y5X9</t>
  </si>
  <si>
    <t>GCGLNDVLGSIAYGTITEVVKCEHERAVHLFVDSLVNQDKPSFAFQCTDSNRFKKGICLSCRKNRCNSIGYNAKKMRNKRNSKMYLKTRAGMPFRVYHYQMKIHVFSYKNMGEIEPTFYVTLYGTNADSQTLPLEIVERIEQNATNTFLVYTEEDLGDLL</t>
  </si>
  <si>
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</si>
</sst>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75B45-5379-47F9-8AA4-E23EF6BA2E52}">
  <dimension ref="A1:I189"/>
  <sheetViews>
    <sheetView tabSelected="1" workbookViewId="0">
      <selection activeCell="F15" sqref="F15"/>
    </sheetView>
  </sheetViews>
  <sheetFormatPr defaultRowHeight="18" x14ac:dyDescent="0.55000000000000004"/>
  <cols>
    <col min="8" max="8" width="214.75" bestFit="1" customWidth="1"/>
  </cols>
  <sheetData>
    <row r="1" spans="1:9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55000000000000004">
      <c r="A2">
        <v>0</v>
      </c>
      <c r="B2">
        <v>742</v>
      </c>
      <c r="C2" t="s">
        <v>8</v>
      </c>
      <c r="D2">
        <v>0</v>
      </c>
      <c r="E2" t="s">
        <v>9</v>
      </c>
      <c r="F2">
        <v>236</v>
      </c>
      <c r="G2">
        <v>1206</v>
      </c>
      <c r="H2" t="s">
        <v>10</v>
      </c>
      <c r="I2" t="s">
        <v>11</v>
      </c>
    </row>
    <row r="3" spans="1:9" x14ac:dyDescent="0.55000000000000004">
      <c r="A3">
        <v>2</v>
      </c>
      <c r="B3">
        <v>742</v>
      </c>
      <c r="C3" t="s">
        <v>8</v>
      </c>
      <c r="D3">
        <v>2</v>
      </c>
      <c r="E3" t="s">
        <v>12</v>
      </c>
      <c r="F3">
        <v>77</v>
      </c>
      <c r="G3">
        <v>366</v>
      </c>
      <c r="H3" t="e">
        <f>---MWPLWLCWALWVLPLAGPGAALTEEQLLGSLLRQLQLSEVPVLDRADMEKLVIPAHVRAQYVVLLRRSHGDRSRGKRFSQSFREVAGRFLASEASTHLLVFGMEQRLPPNSELVQAVLRLFQEPVPKAALHRHGRLSPRSAQARVTVEWLRVRDDGS</f>
        <v>#NAME?</v>
      </c>
      <c r="I3" t="s">
        <v>13</v>
      </c>
    </row>
    <row r="4" spans="1:9" x14ac:dyDescent="0.55000000000000004">
      <c r="A4">
        <v>3</v>
      </c>
      <c r="B4">
        <v>742</v>
      </c>
      <c r="C4" t="s">
        <v>8</v>
      </c>
      <c r="D4">
        <v>3</v>
      </c>
      <c r="E4" t="s">
        <v>14</v>
      </c>
      <c r="F4">
        <v>555</v>
      </c>
      <c r="G4">
        <v>772</v>
      </c>
      <c r="H4" t="s">
        <v>15</v>
      </c>
      <c r="I4" t="s">
        <v>16</v>
      </c>
    </row>
    <row r="5" spans="1:9" x14ac:dyDescent="0.55000000000000004">
      <c r="A5">
        <v>4</v>
      </c>
      <c r="B5">
        <v>742</v>
      </c>
      <c r="C5" t="s">
        <v>8</v>
      </c>
      <c r="D5">
        <v>4</v>
      </c>
      <c r="E5" t="s">
        <v>17</v>
      </c>
      <c r="F5">
        <v>213</v>
      </c>
      <c r="G5">
        <v>748</v>
      </c>
      <c r="H5" t="s">
        <v>18</v>
      </c>
      <c r="I5" t="s">
        <v>19</v>
      </c>
    </row>
    <row r="6" spans="1:9" x14ac:dyDescent="0.55000000000000004">
      <c r="A6">
        <v>5</v>
      </c>
      <c r="B6">
        <v>742</v>
      </c>
      <c r="C6" t="s">
        <v>8</v>
      </c>
      <c r="D6">
        <v>5</v>
      </c>
      <c r="E6" t="s">
        <v>20</v>
      </c>
      <c r="F6">
        <v>249</v>
      </c>
      <c r="G6">
        <v>1205</v>
      </c>
      <c r="H6" t="s">
        <v>21</v>
      </c>
      <c r="I6" t="s">
        <v>22</v>
      </c>
    </row>
    <row r="7" spans="1:9" x14ac:dyDescent="0.55000000000000004">
      <c r="A7">
        <v>6</v>
      </c>
      <c r="B7">
        <v>742</v>
      </c>
      <c r="C7" t="s">
        <v>8</v>
      </c>
      <c r="D7">
        <v>6</v>
      </c>
      <c r="E7" t="s">
        <v>23</v>
      </c>
      <c r="F7">
        <v>207</v>
      </c>
      <c r="G7">
        <v>909</v>
      </c>
      <c r="H7" t="s">
        <v>24</v>
      </c>
      <c r="I7" t="s">
        <v>25</v>
      </c>
    </row>
    <row r="8" spans="1:9" x14ac:dyDescent="0.55000000000000004">
      <c r="A8">
        <v>7</v>
      </c>
      <c r="B8">
        <v>742</v>
      </c>
      <c r="C8" t="s">
        <v>8</v>
      </c>
      <c r="D8">
        <v>7</v>
      </c>
      <c r="E8" t="s">
        <v>26</v>
      </c>
      <c r="F8">
        <v>184</v>
      </c>
      <c r="G8">
        <v>249</v>
      </c>
      <c r="H8" t="s">
        <v>27</v>
      </c>
      <c r="I8" t="s">
        <v>28</v>
      </c>
    </row>
    <row r="9" spans="1:9" x14ac:dyDescent="0.55000000000000004">
      <c r="A9">
        <v>8</v>
      </c>
      <c r="B9">
        <v>742</v>
      </c>
      <c r="C9" t="s">
        <v>8</v>
      </c>
      <c r="D9">
        <v>8</v>
      </c>
      <c r="E9" t="s">
        <v>29</v>
      </c>
      <c r="F9">
        <v>88</v>
      </c>
      <c r="G9">
        <v>354</v>
      </c>
      <c r="H9" t="s">
        <v>30</v>
      </c>
      <c r="I9" t="s">
        <v>31</v>
      </c>
    </row>
    <row r="10" spans="1:9" x14ac:dyDescent="0.55000000000000004">
      <c r="A10">
        <v>9</v>
      </c>
      <c r="B10">
        <v>742</v>
      </c>
      <c r="C10" t="s">
        <v>8</v>
      </c>
      <c r="D10">
        <v>9</v>
      </c>
      <c r="E10" t="s">
        <v>29</v>
      </c>
      <c r="F10">
        <v>99</v>
      </c>
      <c r="G10">
        <v>354</v>
      </c>
      <c r="H10" t="s">
        <v>32</v>
      </c>
      <c r="I10" t="s">
        <v>31</v>
      </c>
    </row>
    <row r="11" spans="1:9" x14ac:dyDescent="0.55000000000000004">
      <c r="A11">
        <v>10</v>
      </c>
      <c r="B11">
        <v>742</v>
      </c>
      <c r="C11" t="s">
        <v>8</v>
      </c>
      <c r="D11">
        <v>10</v>
      </c>
      <c r="E11" t="s">
        <v>29</v>
      </c>
      <c r="F11">
        <v>205</v>
      </c>
      <c r="G11">
        <v>354</v>
      </c>
      <c r="H11" t="s">
        <v>33</v>
      </c>
      <c r="I11" t="s">
        <v>31</v>
      </c>
    </row>
    <row r="12" spans="1:9" x14ac:dyDescent="0.55000000000000004">
      <c r="A12">
        <v>11</v>
      </c>
      <c r="B12">
        <v>742</v>
      </c>
      <c r="C12" t="s">
        <v>8</v>
      </c>
      <c r="D12">
        <v>11</v>
      </c>
      <c r="E12" t="s">
        <v>34</v>
      </c>
      <c r="F12">
        <v>127</v>
      </c>
      <c r="G12">
        <v>657</v>
      </c>
      <c r="H12" t="s">
        <v>35</v>
      </c>
      <c r="I12" t="s">
        <v>36</v>
      </c>
    </row>
    <row r="13" spans="1:9" x14ac:dyDescent="0.55000000000000004">
      <c r="A13">
        <v>12</v>
      </c>
      <c r="B13">
        <v>742</v>
      </c>
      <c r="C13" t="s">
        <v>8</v>
      </c>
      <c r="D13">
        <v>12</v>
      </c>
      <c r="E13" t="s">
        <v>37</v>
      </c>
      <c r="F13">
        <v>346</v>
      </c>
      <c r="G13">
        <v>568</v>
      </c>
      <c r="H13" t="s">
        <v>38</v>
      </c>
      <c r="I13" t="s">
        <v>39</v>
      </c>
    </row>
    <row r="14" spans="1:9" x14ac:dyDescent="0.55000000000000004">
      <c r="A14">
        <v>13</v>
      </c>
      <c r="B14">
        <v>742</v>
      </c>
      <c r="C14" t="s">
        <v>8</v>
      </c>
      <c r="D14">
        <v>13</v>
      </c>
      <c r="E14" t="s">
        <v>40</v>
      </c>
      <c r="F14">
        <v>127</v>
      </c>
      <c r="G14">
        <v>982</v>
      </c>
      <c r="H14" t="s">
        <v>41</v>
      </c>
      <c r="I14" t="s">
        <v>42</v>
      </c>
    </row>
    <row r="15" spans="1:9" x14ac:dyDescent="0.55000000000000004">
      <c r="A15">
        <v>14</v>
      </c>
      <c r="B15">
        <v>742</v>
      </c>
      <c r="C15" t="s">
        <v>8</v>
      </c>
      <c r="D15">
        <v>14</v>
      </c>
      <c r="E15" t="s">
        <v>43</v>
      </c>
      <c r="F15">
        <v>35</v>
      </c>
      <c r="G15">
        <v>3623</v>
      </c>
      <c r="H15" t="e">
        <f>---------------------------------------------MMNMSLPFLWSLLTLLIFAEVNGEAGELELQRQKRSINLQQPRMATERGNLVFLTGSAQNIEFRTGSLGKIKLNDEDLSECLHQIQKNKEDIIELKGSAIGLPQNISSQIYQLNS</f>
        <v>#NAME?</v>
      </c>
      <c r="I15" t="s">
        <v>44</v>
      </c>
    </row>
    <row r="16" spans="1:9" x14ac:dyDescent="0.55000000000000004">
      <c r="A16">
        <v>15</v>
      </c>
      <c r="B16">
        <v>742</v>
      </c>
      <c r="C16" t="s">
        <v>8</v>
      </c>
      <c r="D16">
        <v>15</v>
      </c>
      <c r="E16" t="s">
        <v>45</v>
      </c>
      <c r="F16">
        <v>209</v>
      </c>
      <c r="G16">
        <v>837</v>
      </c>
      <c r="H16" t="s">
        <v>46</v>
      </c>
      <c r="I16" t="s">
        <v>47</v>
      </c>
    </row>
    <row r="17" spans="1:9" x14ac:dyDescent="0.55000000000000004">
      <c r="A17">
        <v>16</v>
      </c>
      <c r="B17">
        <v>742</v>
      </c>
      <c r="C17" t="s">
        <v>8</v>
      </c>
      <c r="D17">
        <v>16</v>
      </c>
      <c r="E17" t="s">
        <v>45</v>
      </c>
      <c r="F17">
        <v>212</v>
      </c>
      <c r="G17">
        <v>837</v>
      </c>
      <c r="H17" t="s">
        <v>48</v>
      </c>
      <c r="I17" t="s">
        <v>47</v>
      </c>
    </row>
    <row r="18" spans="1:9" x14ac:dyDescent="0.55000000000000004">
      <c r="A18">
        <v>17</v>
      </c>
      <c r="B18">
        <v>742</v>
      </c>
      <c r="C18" t="s">
        <v>8</v>
      </c>
      <c r="D18">
        <v>17</v>
      </c>
      <c r="E18" t="s">
        <v>49</v>
      </c>
      <c r="F18">
        <v>214</v>
      </c>
      <c r="G18">
        <v>334</v>
      </c>
      <c r="H18" t="s">
        <v>50</v>
      </c>
      <c r="I18" t="s">
        <v>51</v>
      </c>
    </row>
    <row r="19" spans="1:9" x14ac:dyDescent="0.55000000000000004">
      <c r="A19">
        <v>18</v>
      </c>
      <c r="B19">
        <v>742</v>
      </c>
      <c r="C19" t="s">
        <v>8</v>
      </c>
      <c r="D19">
        <v>18</v>
      </c>
      <c r="E19" t="s">
        <v>52</v>
      </c>
      <c r="F19">
        <v>207</v>
      </c>
      <c r="G19">
        <v>864</v>
      </c>
      <c r="H19" t="s">
        <v>53</v>
      </c>
      <c r="I19" t="s">
        <v>54</v>
      </c>
    </row>
    <row r="20" spans="1:9" x14ac:dyDescent="0.55000000000000004">
      <c r="A20">
        <v>19</v>
      </c>
      <c r="B20">
        <v>742</v>
      </c>
      <c r="C20" t="s">
        <v>8</v>
      </c>
      <c r="D20">
        <v>19</v>
      </c>
      <c r="E20" t="s">
        <v>55</v>
      </c>
      <c r="F20">
        <v>88</v>
      </c>
      <c r="G20">
        <v>1211</v>
      </c>
      <c r="H20" t="s">
        <v>56</v>
      </c>
      <c r="I20" t="s">
        <v>57</v>
      </c>
    </row>
    <row r="21" spans="1:9" x14ac:dyDescent="0.55000000000000004">
      <c r="A21">
        <v>20</v>
      </c>
      <c r="B21">
        <v>742</v>
      </c>
      <c r="C21" t="s">
        <v>8</v>
      </c>
      <c r="D21">
        <v>20</v>
      </c>
      <c r="E21" t="s">
        <v>55</v>
      </c>
      <c r="F21">
        <v>255</v>
      </c>
      <c r="G21">
        <v>1211</v>
      </c>
      <c r="H21" t="s">
        <v>58</v>
      </c>
      <c r="I21" t="s">
        <v>57</v>
      </c>
    </row>
    <row r="22" spans="1:9" x14ac:dyDescent="0.55000000000000004">
      <c r="A22">
        <v>21</v>
      </c>
      <c r="B22">
        <v>742</v>
      </c>
      <c r="C22" t="s">
        <v>8</v>
      </c>
      <c r="D22">
        <v>21</v>
      </c>
      <c r="E22" t="s">
        <v>55</v>
      </c>
      <c r="F22">
        <v>259</v>
      </c>
      <c r="G22">
        <v>1211</v>
      </c>
      <c r="H22" t="s">
        <v>59</v>
      </c>
      <c r="I22" t="s">
        <v>57</v>
      </c>
    </row>
    <row r="23" spans="1:9" x14ac:dyDescent="0.55000000000000004">
      <c r="A23">
        <v>22</v>
      </c>
      <c r="B23">
        <v>742</v>
      </c>
      <c r="C23" t="s">
        <v>8</v>
      </c>
      <c r="D23">
        <v>22</v>
      </c>
      <c r="E23" t="s">
        <v>60</v>
      </c>
      <c r="F23">
        <v>218</v>
      </c>
      <c r="G23">
        <v>560</v>
      </c>
      <c r="H23" t="s">
        <v>61</v>
      </c>
      <c r="I23" t="s">
        <v>62</v>
      </c>
    </row>
    <row r="24" spans="1:9" x14ac:dyDescent="0.55000000000000004">
      <c r="A24">
        <v>23</v>
      </c>
      <c r="B24">
        <v>742</v>
      </c>
      <c r="C24" t="s">
        <v>8</v>
      </c>
      <c r="D24">
        <v>23</v>
      </c>
      <c r="E24" t="s">
        <v>63</v>
      </c>
      <c r="F24">
        <v>225</v>
      </c>
      <c r="G24">
        <v>567</v>
      </c>
      <c r="H24" t="s">
        <v>61</v>
      </c>
      <c r="I24" t="s">
        <v>64</v>
      </c>
    </row>
    <row r="25" spans="1:9" x14ac:dyDescent="0.55000000000000004">
      <c r="A25">
        <v>24</v>
      </c>
      <c r="B25">
        <v>742</v>
      </c>
      <c r="C25" t="s">
        <v>8</v>
      </c>
      <c r="D25">
        <v>24</v>
      </c>
      <c r="E25" t="s">
        <v>65</v>
      </c>
      <c r="F25">
        <v>46</v>
      </c>
      <c r="G25">
        <v>461</v>
      </c>
      <c r="H25" t="e">
        <f>----------------------------------MQRVNMIMAESPGLITICLLGYLLSAECTVFLDHENANKILNRPKRYNSGKLEEFVQGNLERECMEEKCSFEEAREVFENTERTTEFWKQYVDGDQCESNPCLNGGSCKDDINSYECWCPFGFEGK</f>
        <v>#NAME?</v>
      </c>
      <c r="I25" t="s">
        <v>66</v>
      </c>
    </row>
    <row r="26" spans="1:9" x14ac:dyDescent="0.55000000000000004">
      <c r="A26">
        <v>25</v>
      </c>
      <c r="B26">
        <v>742</v>
      </c>
      <c r="C26" t="s">
        <v>8</v>
      </c>
      <c r="D26">
        <v>25</v>
      </c>
      <c r="E26" t="s">
        <v>67</v>
      </c>
      <c r="F26">
        <v>670</v>
      </c>
      <c r="G26">
        <v>1663</v>
      </c>
      <c r="H26" t="s">
        <v>68</v>
      </c>
      <c r="I26" t="s">
        <v>69</v>
      </c>
    </row>
    <row r="27" spans="1:9" x14ac:dyDescent="0.55000000000000004">
      <c r="A27">
        <v>26</v>
      </c>
      <c r="B27">
        <v>742</v>
      </c>
      <c r="C27" t="s">
        <v>8</v>
      </c>
      <c r="D27">
        <v>26</v>
      </c>
      <c r="E27" t="s">
        <v>70</v>
      </c>
      <c r="F27">
        <v>81</v>
      </c>
      <c r="G27">
        <v>241</v>
      </c>
      <c r="H27" t="s">
        <v>71</v>
      </c>
      <c r="I27" t="s">
        <v>72</v>
      </c>
    </row>
    <row r="28" spans="1:9" x14ac:dyDescent="0.55000000000000004">
      <c r="A28">
        <v>27</v>
      </c>
      <c r="B28">
        <v>742</v>
      </c>
      <c r="C28" t="s">
        <v>8</v>
      </c>
      <c r="D28">
        <v>27</v>
      </c>
      <c r="E28" t="s">
        <v>73</v>
      </c>
      <c r="F28">
        <v>278</v>
      </c>
      <c r="G28">
        <v>390</v>
      </c>
      <c r="H28" t="s">
        <v>74</v>
      </c>
      <c r="I28" t="s">
        <v>75</v>
      </c>
    </row>
    <row r="29" spans="1:9" x14ac:dyDescent="0.55000000000000004">
      <c r="A29">
        <v>28</v>
      </c>
      <c r="B29">
        <v>742</v>
      </c>
      <c r="C29" t="s">
        <v>8</v>
      </c>
      <c r="D29">
        <v>28</v>
      </c>
      <c r="E29" t="s">
        <v>76</v>
      </c>
      <c r="F29">
        <v>121</v>
      </c>
      <c r="G29">
        <v>241</v>
      </c>
      <c r="H29" t="s">
        <v>77</v>
      </c>
      <c r="I29" t="s">
        <v>78</v>
      </c>
    </row>
    <row r="30" spans="1:9" x14ac:dyDescent="0.55000000000000004">
      <c r="A30">
        <v>29</v>
      </c>
      <c r="B30">
        <v>742</v>
      </c>
      <c r="C30" t="s">
        <v>8</v>
      </c>
      <c r="D30">
        <v>29</v>
      </c>
      <c r="E30" t="s">
        <v>79</v>
      </c>
      <c r="F30">
        <v>121</v>
      </c>
      <c r="G30">
        <v>241</v>
      </c>
      <c r="H30" t="s">
        <v>80</v>
      </c>
      <c r="I30" t="s">
        <v>81</v>
      </c>
    </row>
    <row r="31" spans="1:9" x14ac:dyDescent="0.55000000000000004">
      <c r="A31">
        <v>30</v>
      </c>
      <c r="B31">
        <v>742</v>
      </c>
      <c r="C31" t="s">
        <v>8</v>
      </c>
      <c r="D31">
        <v>30</v>
      </c>
      <c r="E31" t="s">
        <v>82</v>
      </c>
      <c r="F31">
        <v>155</v>
      </c>
      <c r="G31">
        <v>267</v>
      </c>
      <c r="H31" t="s">
        <v>83</v>
      </c>
      <c r="I31" t="s">
        <v>84</v>
      </c>
    </row>
    <row r="32" spans="1:9" x14ac:dyDescent="0.55000000000000004">
      <c r="A32">
        <v>31</v>
      </c>
      <c r="B32">
        <v>742</v>
      </c>
      <c r="C32" t="s">
        <v>8</v>
      </c>
      <c r="D32">
        <v>31</v>
      </c>
      <c r="E32" t="s">
        <v>82</v>
      </c>
      <c r="F32">
        <v>178</v>
      </c>
      <c r="G32">
        <v>267</v>
      </c>
      <c r="H32" t="s">
        <v>85</v>
      </c>
      <c r="I32" t="s">
        <v>84</v>
      </c>
    </row>
    <row r="33" spans="1:9" x14ac:dyDescent="0.55000000000000004">
      <c r="A33">
        <v>32</v>
      </c>
      <c r="B33">
        <v>742</v>
      </c>
      <c r="C33" t="s">
        <v>8</v>
      </c>
      <c r="D33">
        <v>32</v>
      </c>
      <c r="E33" t="s">
        <v>82</v>
      </c>
      <c r="F33">
        <v>236</v>
      </c>
      <c r="G33">
        <v>267</v>
      </c>
      <c r="H33" t="s">
        <v>86</v>
      </c>
      <c r="I33" t="s">
        <v>84</v>
      </c>
    </row>
    <row r="34" spans="1:9" x14ac:dyDescent="0.55000000000000004">
      <c r="A34">
        <v>33</v>
      </c>
      <c r="B34">
        <v>742</v>
      </c>
      <c r="C34" t="s">
        <v>8</v>
      </c>
      <c r="D34">
        <v>33</v>
      </c>
      <c r="E34" t="s">
        <v>87</v>
      </c>
      <c r="F34">
        <v>142</v>
      </c>
      <c r="G34">
        <v>267</v>
      </c>
      <c r="H34" t="s">
        <v>88</v>
      </c>
      <c r="I34" t="s">
        <v>89</v>
      </c>
    </row>
    <row r="35" spans="1:9" x14ac:dyDescent="0.55000000000000004">
      <c r="A35">
        <v>34</v>
      </c>
      <c r="B35">
        <v>742</v>
      </c>
      <c r="C35" t="s">
        <v>8</v>
      </c>
      <c r="D35">
        <v>34</v>
      </c>
      <c r="E35" t="s">
        <v>87</v>
      </c>
      <c r="F35">
        <v>195</v>
      </c>
      <c r="G35">
        <v>267</v>
      </c>
      <c r="H35" t="s">
        <v>90</v>
      </c>
      <c r="I35" t="s">
        <v>89</v>
      </c>
    </row>
    <row r="36" spans="1:9" x14ac:dyDescent="0.55000000000000004">
      <c r="A36">
        <v>35</v>
      </c>
      <c r="B36">
        <v>742</v>
      </c>
      <c r="C36" t="s">
        <v>8</v>
      </c>
      <c r="D36">
        <v>35</v>
      </c>
      <c r="E36" t="s">
        <v>87</v>
      </c>
      <c r="F36">
        <v>236</v>
      </c>
      <c r="G36">
        <v>267</v>
      </c>
      <c r="H36" t="s">
        <v>91</v>
      </c>
      <c r="I36" t="s">
        <v>89</v>
      </c>
    </row>
    <row r="37" spans="1:9" x14ac:dyDescent="0.55000000000000004">
      <c r="A37">
        <v>38</v>
      </c>
      <c r="B37">
        <v>742</v>
      </c>
      <c r="C37" t="s">
        <v>8</v>
      </c>
      <c r="D37">
        <v>38</v>
      </c>
      <c r="E37" t="s">
        <v>92</v>
      </c>
      <c r="F37">
        <v>119</v>
      </c>
      <c r="G37">
        <v>195</v>
      </c>
      <c r="H37" t="s">
        <v>93</v>
      </c>
      <c r="I37" t="s">
        <v>94</v>
      </c>
    </row>
    <row r="38" spans="1:9" x14ac:dyDescent="0.55000000000000004">
      <c r="A38">
        <v>39</v>
      </c>
      <c r="B38">
        <v>742</v>
      </c>
      <c r="C38" t="s">
        <v>8</v>
      </c>
      <c r="D38">
        <v>39</v>
      </c>
      <c r="E38" t="s">
        <v>95</v>
      </c>
      <c r="F38">
        <v>92</v>
      </c>
      <c r="G38">
        <v>180</v>
      </c>
      <c r="H38" t="s">
        <v>96</v>
      </c>
      <c r="I38" t="s">
        <v>97</v>
      </c>
    </row>
    <row r="39" spans="1:9" x14ac:dyDescent="0.55000000000000004">
      <c r="A39">
        <v>41</v>
      </c>
      <c r="B39">
        <v>742</v>
      </c>
      <c r="C39" t="s">
        <v>8</v>
      </c>
      <c r="D39">
        <v>41</v>
      </c>
      <c r="E39" t="s">
        <v>98</v>
      </c>
      <c r="F39">
        <v>24</v>
      </c>
      <c r="G39">
        <v>609</v>
      </c>
      <c r="H39" t="e">
        <f>--------------------------------------------------------MKWVTFISLLFLFSSAYSRGVFRRDAHKSEVAHRFKDLGEENFKALVLIAFAQYLQQCPFEDHVKLVNEVTEFAKTCVADESAENCDKSLHTLFGDKLCTVATL</f>
        <v>#NAME?</v>
      </c>
      <c r="I39" t="s">
        <v>99</v>
      </c>
    </row>
    <row r="40" spans="1:9" x14ac:dyDescent="0.55000000000000004">
      <c r="A40">
        <v>42</v>
      </c>
      <c r="B40">
        <v>742</v>
      </c>
      <c r="C40" t="s">
        <v>8</v>
      </c>
      <c r="D40">
        <v>42</v>
      </c>
      <c r="E40" t="s">
        <v>100</v>
      </c>
      <c r="F40">
        <v>24</v>
      </c>
      <c r="G40">
        <v>608</v>
      </c>
      <c r="H40" t="e">
        <f>--------------------------------------------------------MKWVTFLLLLFISGSAFSRGVFRREAHKSEIAHRFKDLGEQHFKGLVLIAFSQYLQKCPYEEHIKLVQEVTDFAKTCVADENAENCDKSIHTLFGDKLCAIPKL</f>
        <v>#NAME?</v>
      </c>
      <c r="I40" t="s">
        <v>101</v>
      </c>
    </row>
    <row r="41" spans="1:9" x14ac:dyDescent="0.55000000000000004">
      <c r="A41">
        <v>43</v>
      </c>
      <c r="B41">
        <v>742</v>
      </c>
      <c r="C41" t="s">
        <v>8</v>
      </c>
      <c r="D41">
        <v>43</v>
      </c>
      <c r="E41" t="s">
        <v>102</v>
      </c>
      <c r="F41">
        <v>12</v>
      </c>
      <c r="G41">
        <v>473</v>
      </c>
      <c r="H41" t="e">
        <f>--------------------------------------------------------------------MRHKRSAKRTKRASATQLYKTCKQAGTCPPDIIPKVEGKTIAEQILQYGSMGVFFGGLGIGTGSGTGGRTGYIPLGTRPPTATDTLAPVRPP</f>
        <v>#NAME?</v>
      </c>
      <c r="I41" t="s">
        <v>103</v>
      </c>
    </row>
    <row r="42" spans="1:9" x14ac:dyDescent="0.55000000000000004">
      <c r="A42">
        <v>44</v>
      </c>
      <c r="B42">
        <v>742</v>
      </c>
      <c r="C42" t="s">
        <v>8</v>
      </c>
      <c r="D42">
        <v>44</v>
      </c>
      <c r="E42" t="s">
        <v>104</v>
      </c>
      <c r="F42">
        <v>432</v>
      </c>
      <c r="G42">
        <v>857</v>
      </c>
      <c r="H42" t="s">
        <v>105</v>
      </c>
      <c r="I42" t="s">
        <v>106</v>
      </c>
    </row>
    <row r="43" spans="1:9" x14ac:dyDescent="0.55000000000000004">
      <c r="A43">
        <v>45</v>
      </c>
      <c r="B43">
        <v>742</v>
      </c>
      <c r="C43" t="s">
        <v>8</v>
      </c>
      <c r="D43">
        <v>45</v>
      </c>
      <c r="E43" t="s">
        <v>107</v>
      </c>
      <c r="F43">
        <v>328</v>
      </c>
      <c r="G43">
        <v>1245</v>
      </c>
      <c r="H43" t="s">
        <v>108</v>
      </c>
      <c r="I43" t="s">
        <v>109</v>
      </c>
    </row>
    <row r="44" spans="1:9" x14ac:dyDescent="0.55000000000000004">
      <c r="A44">
        <v>46</v>
      </c>
      <c r="B44">
        <v>742</v>
      </c>
      <c r="C44" t="s">
        <v>8</v>
      </c>
      <c r="D44">
        <v>46</v>
      </c>
      <c r="E44" t="s">
        <v>110</v>
      </c>
      <c r="F44">
        <v>342</v>
      </c>
      <c r="G44">
        <v>563</v>
      </c>
      <c r="H44" t="s">
        <v>111</v>
      </c>
      <c r="I44" t="s">
        <v>112</v>
      </c>
    </row>
    <row r="45" spans="1:9" x14ac:dyDescent="0.55000000000000004">
      <c r="A45">
        <v>47</v>
      </c>
      <c r="B45">
        <v>742</v>
      </c>
      <c r="C45" t="s">
        <v>8</v>
      </c>
      <c r="D45">
        <v>47</v>
      </c>
      <c r="E45" t="s">
        <v>113</v>
      </c>
      <c r="F45">
        <v>42</v>
      </c>
      <c r="G45">
        <v>461</v>
      </c>
      <c r="H45" t="e">
        <f>--------------------------------------MWQLTSLLLFVATWGISGTPAPLDSVFSSSERAHQVLRIRKRANSFLEELRHSSLERECIEEICDFEEAKEIFQNVDDTLAFWSKHVDGDQCLVLPLEHPCASLCCGHGTCIDGIGSFSCDC</f>
        <v>#NAME?</v>
      </c>
      <c r="I45" t="s">
        <v>114</v>
      </c>
    </row>
    <row r="46" spans="1:9" x14ac:dyDescent="0.55000000000000004">
      <c r="A46">
        <v>48</v>
      </c>
      <c r="B46">
        <v>742</v>
      </c>
      <c r="C46" t="s">
        <v>8</v>
      </c>
      <c r="D46">
        <v>48</v>
      </c>
      <c r="E46" t="s">
        <v>113</v>
      </c>
      <c r="F46">
        <v>199</v>
      </c>
      <c r="G46">
        <v>461</v>
      </c>
      <c r="H46" t="s">
        <v>115</v>
      </c>
      <c r="I46" t="s">
        <v>114</v>
      </c>
    </row>
    <row r="47" spans="1:9" x14ac:dyDescent="0.55000000000000004">
      <c r="A47">
        <v>49</v>
      </c>
      <c r="B47">
        <v>742</v>
      </c>
      <c r="C47" t="s">
        <v>8</v>
      </c>
      <c r="D47">
        <v>49</v>
      </c>
      <c r="E47" t="s">
        <v>116</v>
      </c>
      <c r="F47">
        <v>86</v>
      </c>
      <c r="G47">
        <v>211</v>
      </c>
      <c r="H47" t="s">
        <v>117</v>
      </c>
      <c r="I47" t="s">
        <v>118</v>
      </c>
    </row>
    <row r="48" spans="1:9" x14ac:dyDescent="0.55000000000000004">
      <c r="A48">
        <v>50</v>
      </c>
      <c r="B48">
        <v>742</v>
      </c>
      <c r="C48" t="s">
        <v>8</v>
      </c>
      <c r="D48">
        <v>50</v>
      </c>
      <c r="E48" t="s">
        <v>119</v>
      </c>
      <c r="F48">
        <v>763</v>
      </c>
      <c r="G48">
        <v>2813</v>
      </c>
      <c r="H48" t="s">
        <v>120</v>
      </c>
      <c r="I48" t="s">
        <v>121</v>
      </c>
    </row>
    <row r="49" spans="1:9" x14ac:dyDescent="0.55000000000000004">
      <c r="A49">
        <v>51</v>
      </c>
      <c r="B49">
        <v>742</v>
      </c>
      <c r="C49" t="s">
        <v>8</v>
      </c>
      <c r="D49">
        <v>51</v>
      </c>
      <c r="E49" t="s">
        <v>122</v>
      </c>
      <c r="F49">
        <v>511</v>
      </c>
      <c r="G49">
        <v>856</v>
      </c>
      <c r="H49" t="s">
        <v>123</v>
      </c>
      <c r="I49" t="s">
        <v>124</v>
      </c>
    </row>
    <row r="50" spans="1:9" x14ac:dyDescent="0.55000000000000004">
      <c r="A50">
        <v>52</v>
      </c>
      <c r="B50">
        <v>742</v>
      </c>
      <c r="C50" t="s">
        <v>8</v>
      </c>
      <c r="D50">
        <v>52</v>
      </c>
      <c r="E50" t="s">
        <v>125</v>
      </c>
      <c r="F50">
        <v>119</v>
      </c>
      <c r="G50">
        <v>195</v>
      </c>
      <c r="H50" t="s">
        <v>93</v>
      </c>
      <c r="I50" t="s">
        <v>94</v>
      </c>
    </row>
    <row r="51" spans="1:9" x14ac:dyDescent="0.55000000000000004">
      <c r="A51">
        <v>53</v>
      </c>
      <c r="B51">
        <v>742</v>
      </c>
      <c r="C51" t="s">
        <v>8</v>
      </c>
      <c r="D51">
        <v>53</v>
      </c>
      <c r="E51" t="s">
        <v>126</v>
      </c>
      <c r="F51">
        <v>52</v>
      </c>
      <c r="G51">
        <v>212</v>
      </c>
      <c r="H51" t="e">
        <f>----------------------------MDYLLMIFSLLFVACQGAPETAVLGAELSAVGENGGEKPTPSPPWRLRRSKRCSCSSLMDKECVYFCHLDIIWVNTPEHVVPYGLGSPRSKRALENLLPTKATDRENRCQCASQKDKKCWNFCQAGKELRAE</f>
        <v>#NAME?</v>
      </c>
      <c r="I51" t="s">
        <v>127</v>
      </c>
    </row>
    <row r="52" spans="1:9" x14ac:dyDescent="0.55000000000000004">
      <c r="A52">
        <v>54</v>
      </c>
      <c r="B52">
        <v>742</v>
      </c>
      <c r="C52" t="s">
        <v>8</v>
      </c>
      <c r="D52">
        <v>54</v>
      </c>
      <c r="E52" t="s">
        <v>126</v>
      </c>
      <c r="F52">
        <v>92</v>
      </c>
      <c r="G52">
        <v>212</v>
      </c>
      <c r="H52" t="s">
        <v>128</v>
      </c>
      <c r="I52" t="s">
        <v>127</v>
      </c>
    </row>
    <row r="53" spans="1:9" x14ac:dyDescent="0.55000000000000004">
      <c r="A53">
        <v>55</v>
      </c>
      <c r="B53">
        <v>742</v>
      </c>
      <c r="C53" t="s">
        <v>8</v>
      </c>
      <c r="D53">
        <v>55</v>
      </c>
      <c r="E53" t="s">
        <v>126</v>
      </c>
      <c r="F53">
        <v>108</v>
      </c>
      <c r="G53">
        <v>212</v>
      </c>
      <c r="H53" t="s">
        <v>129</v>
      </c>
      <c r="I53" t="s">
        <v>127</v>
      </c>
    </row>
    <row r="54" spans="1:9" x14ac:dyDescent="0.55000000000000004">
      <c r="A54">
        <v>56</v>
      </c>
      <c r="B54">
        <v>742</v>
      </c>
      <c r="C54" t="s">
        <v>8</v>
      </c>
      <c r="D54">
        <v>56</v>
      </c>
      <c r="E54" t="s">
        <v>126</v>
      </c>
      <c r="F54">
        <v>168</v>
      </c>
      <c r="G54">
        <v>212</v>
      </c>
      <c r="H54" t="s">
        <v>130</v>
      </c>
      <c r="I54" t="s">
        <v>127</v>
      </c>
    </row>
    <row r="55" spans="1:9" x14ac:dyDescent="0.55000000000000004">
      <c r="A55">
        <v>57</v>
      </c>
      <c r="B55">
        <v>742</v>
      </c>
      <c r="C55" t="s">
        <v>8</v>
      </c>
      <c r="D55">
        <v>57</v>
      </c>
      <c r="E55" t="s">
        <v>131</v>
      </c>
      <c r="F55">
        <v>181</v>
      </c>
      <c r="G55">
        <v>212</v>
      </c>
      <c r="H55" t="s">
        <v>132</v>
      </c>
      <c r="I55" t="s">
        <v>133</v>
      </c>
    </row>
    <row r="56" spans="1:9" x14ac:dyDescent="0.55000000000000004">
      <c r="A56">
        <v>58</v>
      </c>
      <c r="B56">
        <v>742</v>
      </c>
      <c r="C56" t="s">
        <v>8</v>
      </c>
      <c r="D56">
        <v>58</v>
      </c>
      <c r="E56" t="s">
        <v>134</v>
      </c>
      <c r="F56">
        <v>762</v>
      </c>
      <c r="G56">
        <v>1382</v>
      </c>
      <c r="H56" t="s">
        <v>135</v>
      </c>
      <c r="I56" t="s">
        <v>136</v>
      </c>
    </row>
    <row r="57" spans="1:9" x14ac:dyDescent="0.55000000000000004">
      <c r="A57">
        <v>59</v>
      </c>
      <c r="B57">
        <v>742</v>
      </c>
      <c r="C57" t="s">
        <v>8</v>
      </c>
      <c r="D57">
        <v>59</v>
      </c>
      <c r="E57" t="s">
        <v>137</v>
      </c>
      <c r="F57">
        <v>234</v>
      </c>
      <c r="G57">
        <v>248</v>
      </c>
      <c r="H57" t="s">
        <v>138</v>
      </c>
      <c r="I57" t="s">
        <v>139</v>
      </c>
    </row>
    <row r="58" spans="1:9" x14ac:dyDescent="0.55000000000000004">
      <c r="A58">
        <v>60</v>
      </c>
      <c r="B58">
        <v>742</v>
      </c>
      <c r="C58" t="s">
        <v>8</v>
      </c>
      <c r="D58">
        <v>60</v>
      </c>
      <c r="E58" t="s">
        <v>140</v>
      </c>
      <c r="F58">
        <v>890</v>
      </c>
      <c r="G58">
        <v>1048</v>
      </c>
      <c r="H58" t="s">
        <v>141</v>
      </c>
      <c r="I58" t="s">
        <v>142</v>
      </c>
    </row>
    <row r="59" spans="1:9" x14ac:dyDescent="0.55000000000000004">
      <c r="A59">
        <v>61</v>
      </c>
      <c r="B59">
        <v>742</v>
      </c>
      <c r="C59" t="s">
        <v>8</v>
      </c>
      <c r="D59">
        <v>61</v>
      </c>
      <c r="E59" t="s">
        <v>143</v>
      </c>
      <c r="F59">
        <v>109</v>
      </c>
      <c r="G59">
        <v>539</v>
      </c>
      <c r="H59" t="s">
        <v>144</v>
      </c>
      <c r="I59" t="s">
        <v>145</v>
      </c>
    </row>
    <row r="60" spans="1:9" x14ac:dyDescent="0.55000000000000004">
      <c r="A60">
        <v>62</v>
      </c>
      <c r="B60">
        <v>742</v>
      </c>
      <c r="C60" t="s">
        <v>8</v>
      </c>
      <c r="D60">
        <v>62</v>
      </c>
      <c r="E60" t="s">
        <v>146</v>
      </c>
      <c r="F60">
        <v>101</v>
      </c>
      <c r="G60">
        <v>660</v>
      </c>
      <c r="H60" t="s">
        <v>147</v>
      </c>
      <c r="I60" t="s">
        <v>148</v>
      </c>
    </row>
    <row r="61" spans="1:9" x14ac:dyDescent="0.55000000000000004">
      <c r="A61">
        <v>63</v>
      </c>
      <c r="B61">
        <v>742</v>
      </c>
      <c r="C61" t="s">
        <v>8</v>
      </c>
      <c r="D61">
        <v>63</v>
      </c>
      <c r="E61" t="s">
        <v>149</v>
      </c>
      <c r="F61">
        <v>231</v>
      </c>
      <c r="G61">
        <v>240</v>
      </c>
      <c r="H61" t="s">
        <v>150</v>
      </c>
      <c r="I61" t="s">
        <v>151</v>
      </c>
    </row>
    <row r="62" spans="1:9" x14ac:dyDescent="0.55000000000000004">
      <c r="A62">
        <v>64</v>
      </c>
      <c r="B62">
        <v>742</v>
      </c>
      <c r="C62" t="s">
        <v>8</v>
      </c>
      <c r="D62">
        <v>64</v>
      </c>
      <c r="E62" t="s">
        <v>152</v>
      </c>
      <c r="F62">
        <v>307</v>
      </c>
      <c r="G62">
        <v>1390</v>
      </c>
      <c r="H62" t="s">
        <v>153</v>
      </c>
      <c r="I62" t="s">
        <v>154</v>
      </c>
    </row>
    <row r="63" spans="1:9" x14ac:dyDescent="0.55000000000000004">
      <c r="A63">
        <v>65</v>
      </c>
      <c r="B63">
        <v>742</v>
      </c>
      <c r="C63" t="s">
        <v>8</v>
      </c>
      <c r="D63">
        <v>65</v>
      </c>
      <c r="E63" t="s">
        <v>155</v>
      </c>
      <c r="F63">
        <v>894</v>
      </c>
      <c r="G63">
        <v>1049</v>
      </c>
      <c r="H63" t="s">
        <v>156</v>
      </c>
      <c r="I63" t="s">
        <v>157</v>
      </c>
    </row>
    <row r="64" spans="1:9" x14ac:dyDescent="0.55000000000000004">
      <c r="A64">
        <v>66</v>
      </c>
      <c r="B64">
        <v>742</v>
      </c>
      <c r="C64" t="s">
        <v>8</v>
      </c>
      <c r="D64">
        <v>66</v>
      </c>
      <c r="E64" t="s">
        <v>158</v>
      </c>
      <c r="F64">
        <v>455</v>
      </c>
      <c r="G64">
        <v>493</v>
      </c>
      <c r="H64" t="s">
        <v>159</v>
      </c>
      <c r="I64" t="s">
        <v>160</v>
      </c>
    </row>
    <row r="65" spans="1:9" x14ac:dyDescent="0.55000000000000004">
      <c r="A65">
        <v>67</v>
      </c>
      <c r="B65">
        <v>742</v>
      </c>
      <c r="C65" t="s">
        <v>8</v>
      </c>
      <c r="D65">
        <v>67</v>
      </c>
      <c r="E65" t="s">
        <v>161</v>
      </c>
      <c r="F65">
        <v>70</v>
      </c>
      <c r="G65">
        <v>794</v>
      </c>
      <c r="H65" t="e">
        <f>----------MELRPWLLWVVAATGTLVLLAADAQGQKVFTNTWAVRIPGGPAVANSVARKHGFLNLGQIFGDYYHFWHRGVTKRSLSPHRPRHSRLQREPQVQWLEQQVAKRRTKRDVYQEPTDPKFPQQWYLSGVTQRDLNVKAAWAQGYTGHGIVVS</f>
        <v>#NAME?</v>
      </c>
      <c r="I65" t="s">
        <v>162</v>
      </c>
    </row>
    <row r="66" spans="1:9" x14ac:dyDescent="0.55000000000000004">
      <c r="A66">
        <v>68</v>
      </c>
      <c r="B66">
        <v>742</v>
      </c>
      <c r="C66" t="s">
        <v>8</v>
      </c>
      <c r="D66">
        <v>68</v>
      </c>
      <c r="E66" t="s">
        <v>161</v>
      </c>
      <c r="F66">
        <v>75</v>
      </c>
      <c r="G66">
        <v>794</v>
      </c>
      <c r="H66" t="e">
        <f>-----MELRPWLLWVVAATGTLVLLAADAQGQKVFTNTWAVRIPGGPAVANSVARKHGFLNLGQIFGDYYHFWHRGVTKRSLSPHRPRHSRLQREPQVQWLEQQVAKRRTKRDVYQEPTDPKFPQQWYLSGVTQRDLNVKAAWAQGYTGHGIVVSILDDG</f>
        <v>#NAME?</v>
      </c>
      <c r="I66" t="s">
        <v>162</v>
      </c>
    </row>
    <row r="67" spans="1:9" x14ac:dyDescent="0.55000000000000004">
      <c r="A67">
        <v>69</v>
      </c>
      <c r="B67">
        <v>742</v>
      </c>
      <c r="C67" t="s">
        <v>8</v>
      </c>
      <c r="D67">
        <v>69</v>
      </c>
      <c r="E67" t="s">
        <v>161</v>
      </c>
      <c r="F67">
        <v>104</v>
      </c>
      <c r="G67">
        <v>794</v>
      </c>
      <c r="H67" t="s">
        <v>163</v>
      </c>
      <c r="I67" t="s">
        <v>162</v>
      </c>
    </row>
    <row r="68" spans="1:9" x14ac:dyDescent="0.55000000000000004">
      <c r="A68">
        <v>70</v>
      </c>
      <c r="B68">
        <v>742</v>
      </c>
      <c r="C68" t="s">
        <v>8</v>
      </c>
      <c r="D68">
        <v>70</v>
      </c>
      <c r="E68" t="s">
        <v>161</v>
      </c>
      <c r="F68">
        <v>107</v>
      </c>
      <c r="G68">
        <v>794</v>
      </c>
      <c r="H68" t="s">
        <v>164</v>
      </c>
      <c r="I68" t="s">
        <v>162</v>
      </c>
    </row>
    <row r="69" spans="1:9" x14ac:dyDescent="0.55000000000000004">
      <c r="A69">
        <v>71</v>
      </c>
      <c r="B69">
        <v>742</v>
      </c>
      <c r="C69" t="s">
        <v>8</v>
      </c>
      <c r="D69">
        <v>71</v>
      </c>
      <c r="E69" t="s">
        <v>165</v>
      </c>
      <c r="F69">
        <v>240</v>
      </c>
      <c r="G69">
        <v>310</v>
      </c>
      <c r="H69" t="s">
        <v>166</v>
      </c>
      <c r="I69" t="s">
        <v>167</v>
      </c>
    </row>
    <row r="70" spans="1:9" x14ac:dyDescent="0.55000000000000004">
      <c r="A70">
        <v>72</v>
      </c>
      <c r="B70">
        <v>742</v>
      </c>
      <c r="C70" t="s">
        <v>8</v>
      </c>
      <c r="D70">
        <v>72</v>
      </c>
      <c r="E70" t="s">
        <v>168</v>
      </c>
      <c r="F70">
        <v>344</v>
      </c>
      <c r="G70">
        <v>566</v>
      </c>
      <c r="H70" t="s">
        <v>169</v>
      </c>
      <c r="I70" t="s">
        <v>170</v>
      </c>
    </row>
    <row r="71" spans="1:9" x14ac:dyDescent="0.55000000000000004">
      <c r="A71">
        <v>73</v>
      </c>
      <c r="B71">
        <v>742</v>
      </c>
      <c r="C71" t="s">
        <v>8</v>
      </c>
      <c r="D71">
        <v>73</v>
      </c>
      <c r="E71" t="s">
        <v>171</v>
      </c>
      <c r="F71">
        <v>537</v>
      </c>
      <c r="G71">
        <v>1162</v>
      </c>
      <c r="H71" t="s">
        <v>172</v>
      </c>
      <c r="I71" t="s">
        <v>173</v>
      </c>
    </row>
    <row r="72" spans="1:9" x14ac:dyDescent="0.55000000000000004">
      <c r="A72">
        <v>74</v>
      </c>
      <c r="B72">
        <v>742</v>
      </c>
      <c r="C72" t="s">
        <v>8</v>
      </c>
      <c r="D72">
        <v>74</v>
      </c>
      <c r="E72" t="s">
        <v>174</v>
      </c>
      <c r="F72">
        <v>304</v>
      </c>
      <c r="G72">
        <v>638</v>
      </c>
      <c r="H72" t="s">
        <v>175</v>
      </c>
      <c r="I72" t="s">
        <v>176</v>
      </c>
    </row>
    <row r="73" spans="1:9" x14ac:dyDescent="0.55000000000000004">
      <c r="A73">
        <v>75</v>
      </c>
      <c r="B73">
        <v>742</v>
      </c>
      <c r="C73" t="s">
        <v>8</v>
      </c>
      <c r="D73">
        <v>75</v>
      </c>
      <c r="E73" t="s">
        <v>177</v>
      </c>
      <c r="F73">
        <v>36</v>
      </c>
      <c r="G73">
        <v>177</v>
      </c>
      <c r="H73" t="e">
        <f>--------------------------------------------MQRRLVQQWSVAVFLLSYAVPSCGRSVEGLSRRLKRAVSEHQLLHDKGKSIQDLRRRFFLHHLIAEIHTAEIRATSEVSPNSKPSPNTKNHPVRFGSDDEGRYLTQETNKVETYKE</f>
        <v>#NAME?</v>
      </c>
      <c r="I73" t="s">
        <v>178</v>
      </c>
    </row>
    <row r="74" spans="1:9" x14ac:dyDescent="0.55000000000000004">
      <c r="A74">
        <v>76</v>
      </c>
      <c r="B74">
        <v>742</v>
      </c>
      <c r="C74" t="s">
        <v>8</v>
      </c>
      <c r="D74">
        <v>76</v>
      </c>
      <c r="E74" t="s">
        <v>179</v>
      </c>
      <c r="F74">
        <v>292</v>
      </c>
      <c r="G74">
        <v>408</v>
      </c>
      <c r="H74" t="s">
        <v>180</v>
      </c>
      <c r="I74" t="s">
        <v>181</v>
      </c>
    </row>
    <row r="75" spans="1:9" x14ac:dyDescent="0.55000000000000004">
      <c r="A75">
        <v>77</v>
      </c>
      <c r="B75">
        <v>742</v>
      </c>
      <c r="C75" t="s">
        <v>8</v>
      </c>
      <c r="D75">
        <v>77</v>
      </c>
      <c r="E75" t="s">
        <v>182</v>
      </c>
      <c r="F75">
        <v>181</v>
      </c>
      <c r="G75">
        <v>212</v>
      </c>
      <c r="H75" t="s">
        <v>183</v>
      </c>
      <c r="I75" t="s">
        <v>184</v>
      </c>
    </row>
    <row r="76" spans="1:9" x14ac:dyDescent="0.55000000000000004">
      <c r="A76">
        <v>78</v>
      </c>
      <c r="B76">
        <v>742</v>
      </c>
      <c r="C76" t="s">
        <v>8</v>
      </c>
      <c r="D76">
        <v>78</v>
      </c>
      <c r="E76" t="s">
        <v>185</v>
      </c>
      <c r="F76">
        <v>460</v>
      </c>
      <c r="G76">
        <v>907</v>
      </c>
      <c r="H76" t="s">
        <v>186</v>
      </c>
      <c r="I76" t="s">
        <v>187</v>
      </c>
    </row>
    <row r="77" spans="1:9" x14ac:dyDescent="0.55000000000000004">
      <c r="A77">
        <v>79</v>
      </c>
      <c r="B77">
        <v>742</v>
      </c>
      <c r="C77" t="s">
        <v>8</v>
      </c>
      <c r="D77">
        <v>79</v>
      </c>
      <c r="E77" t="s">
        <v>188</v>
      </c>
      <c r="F77">
        <v>196</v>
      </c>
      <c r="G77">
        <v>764</v>
      </c>
      <c r="H77" t="s">
        <v>189</v>
      </c>
      <c r="I77" t="s">
        <v>190</v>
      </c>
    </row>
    <row r="78" spans="1:9" x14ac:dyDescent="0.55000000000000004">
      <c r="A78">
        <v>80</v>
      </c>
      <c r="B78">
        <v>742</v>
      </c>
      <c r="C78" t="s">
        <v>8</v>
      </c>
      <c r="D78">
        <v>80</v>
      </c>
      <c r="E78" t="s">
        <v>191</v>
      </c>
      <c r="F78">
        <v>120</v>
      </c>
      <c r="G78">
        <v>986</v>
      </c>
      <c r="H78" t="s">
        <v>192</v>
      </c>
      <c r="I78" t="s">
        <v>193</v>
      </c>
    </row>
    <row r="79" spans="1:9" x14ac:dyDescent="0.55000000000000004">
      <c r="A79">
        <v>81</v>
      </c>
      <c r="B79">
        <v>742</v>
      </c>
      <c r="C79" t="s">
        <v>8</v>
      </c>
      <c r="D79">
        <v>81</v>
      </c>
      <c r="E79" t="s">
        <v>194</v>
      </c>
      <c r="F79">
        <v>591</v>
      </c>
      <c r="G79">
        <v>1032</v>
      </c>
      <c r="H79" t="s">
        <v>195</v>
      </c>
      <c r="I79" t="s">
        <v>196</v>
      </c>
    </row>
    <row r="80" spans="1:9" x14ac:dyDescent="0.55000000000000004">
      <c r="A80">
        <v>82</v>
      </c>
      <c r="B80">
        <v>742</v>
      </c>
      <c r="C80" t="s">
        <v>8</v>
      </c>
      <c r="D80">
        <v>82</v>
      </c>
      <c r="E80" t="s">
        <v>197</v>
      </c>
      <c r="F80">
        <v>146</v>
      </c>
      <c r="G80">
        <v>165</v>
      </c>
      <c r="H80" t="s">
        <v>198</v>
      </c>
      <c r="I80" t="s">
        <v>199</v>
      </c>
    </row>
    <row r="81" spans="1:9" x14ac:dyDescent="0.55000000000000004">
      <c r="A81">
        <v>84</v>
      </c>
      <c r="B81">
        <v>742</v>
      </c>
      <c r="C81" t="s">
        <v>8</v>
      </c>
      <c r="D81">
        <v>84</v>
      </c>
      <c r="E81" t="s">
        <v>200</v>
      </c>
      <c r="F81">
        <v>138</v>
      </c>
      <c r="G81">
        <v>257</v>
      </c>
      <c r="H81" t="s">
        <v>201</v>
      </c>
      <c r="I81" t="s">
        <v>202</v>
      </c>
    </row>
    <row r="82" spans="1:9" x14ac:dyDescent="0.55000000000000004">
      <c r="A82">
        <v>85</v>
      </c>
      <c r="B82">
        <v>742</v>
      </c>
      <c r="C82" t="s">
        <v>8</v>
      </c>
      <c r="D82">
        <v>85</v>
      </c>
      <c r="E82" t="s">
        <v>203</v>
      </c>
      <c r="F82">
        <v>352</v>
      </c>
      <c r="G82">
        <v>424</v>
      </c>
      <c r="H82" t="s">
        <v>204</v>
      </c>
      <c r="I82" t="s">
        <v>205</v>
      </c>
    </row>
    <row r="83" spans="1:9" x14ac:dyDescent="0.55000000000000004">
      <c r="A83">
        <v>86</v>
      </c>
      <c r="B83">
        <v>742</v>
      </c>
      <c r="C83" t="s">
        <v>8</v>
      </c>
      <c r="D83">
        <v>86</v>
      </c>
      <c r="E83" t="s">
        <v>206</v>
      </c>
      <c r="F83">
        <v>70</v>
      </c>
      <c r="G83">
        <v>793</v>
      </c>
      <c r="H83" t="e">
        <f>----------MELRSWLLWVVAAAGAVVLLAADAQGQKIFTNTWAVHIPGGPAVADRVAQKHGFHNLGQIFGDYYHFWHRAVTKRSLSPHRPRHSRLQREPQVKWLEQQVAKRRAKRDVYQEPTDPKFPQQWYLSGVTQRDLNVKEAWAQGFTGHGIVVS</f>
        <v>#NAME?</v>
      </c>
      <c r="I83" t="s">
        <v>207</v>
      </c>
    </row>
    <row r="84" spans="1:9" x14ac:dyDescent="0.55000000000000004">
      <c r="A84">
        <v>87</v>
      </c>
      <c r="B84">
        <v>742</v>
      </c>
      <c r="C84" t="s">
        <v>8</v>
      </c>
      <c r="D84">
        <v>87</v>
      </c>
      <c r="E84" t="s">
        <v>206</v>
      </c>
      <c r="F84">
        <v>104</v>
      </c>
      <c r="G84">
        <v>793</v>
      </c>
      <c r="H84" t="s">
        <v>208</v>
      </c>
      <c r="I84" t="s">
        <v>207</v>
      </c>
    </row>
    <row r="85" spans="1:9" x14ac:dyDescent="0.55000000000000004">
      <c r="A85">
        <v>88</v>
      </c>
      <c r="B85">
        <v>742</v>
      </c>
      <c r="C85" t="s">
        <v>8</v>
      </c>
      <c r="D85">
        <v>88</v>
      </c>
      <c r="E85" t="s">
        <v>206</v>
      </c>
      <c r="F85">
        <v>107</v>
      </c>
      <c r="G85">
        <v>793</v>
      </c>
      <c r="H85" t="s">
        <v>209</v>
      </c>
      <c r="I85" t="s">
        <v>207</v>
      </c>
    </row>
    <row r="86" spans="1:9" x14ac:dyDescent="0.55000000000000004">
      <c r="A86">
        <v>89</v>
      </c>
      <c r="B86">
        <v>742</v>
      </c>
      <c r="C86" t="s">
        <v>8</v>
      </c>
      <c r="D86">
        <v>89</v>
      </c>
      <c r="E86" t="s">
        <v>210</v>
      </c>
      <c r="F86">
        <v>941</v>
      </c>
      <c r="G86">
        <v>1130</v>
      </c>
      <c r="H86" t="s">
        <v>211</v>
      </c>
      <c r="I86" t="s">
        <v>212</v>
      </c>
    </row>
    <row r="87" spans="1:9" x14ac:dyDescent="0.55000000000000004">
      <c r="A87">
        <v>90</v>
      </c>
      <c r="B87">
        <v>742</v>
      </c>
      <c r="C87" t="s">
        <v>8</v>
      </c>
      <c r="D87">
        <v>90</v>
      </c>
      <c r="E87" t="s">
        <v>213</v>
      </c>
      <c r="F87">
        <v>70</v>
      </c>
      <c r="G87">
        <v>793</v>
      </c>
      <c r="H87" t="e">
        <f>----------MELRPWLLWVVAAAGALVLLAAEARGQKIFTNTWAVHISGGPAVADSVARKHGFHNLGQIFGDYYHFWHRAVTKRSLSPHRPRHSRLQRVPQVKWLEQQVAKQRAKRDVYQEPTDPKFPQQWYLSGVTQRDLNVKEAWAQGFTGRGIVVS</f>
        <v>#NAME?</v>
      </c>
      <c r="I87" t="s">
        <v>214</v>
      </c>
    </row>
    <row r="88" spans="1:9" x14ac:dyDescent="0.55000000000000004">
      <c r="A88">
        <v>91</v>
      </c>
      <c r="B88">
        <v>742</v>
      </c>
      <c r="C88" t="s">
        <v>8</v>
      </c>
      <c r="D88">
        <v>91</v>
      </c>
      <c r="E88" t="s">
        <v>213</v>
      </c>
      <c r="F88">
        <v>104</v>
      </c>
      <c r="G88">
        <v>793</v>
      </c>
      <c r="H88" t="s">
        <v>215</v>
      </c>
      <c r="I88" t="s">
        <v>214</v>
      </c>
    </row>
    <row r="89" spans="1:9" x14ac:dyDescent="0.55000000000000004">
      <c r="A89">
        <v>92</v>
      </c>
      <c r="B89">
        <v>742</v>
      </c>
      <c r="C89" t="s">
        <v>8</v>
      </c>
      <c r="D89">
        <v>92</v>
      </c>
      <c r="E89" t="s">
        <v>216</v>
      </c>
      <c r="F89">
        <v>128</v>
      </c>
      <c r="G89">
        <v>247</v>
      </c>
      <c r="H89" t="s">
        <v>217</v>
      </c>
      <c r="I89" t="s">
        <v>218</v>
      </c>
    </row>
    <row r="90" spans="1:9" x14ac:dyDescent="0.55000000000000004">
      <c r="A90">
        <v>93</v>
      </c>
      <c r="B90">
        <v>742</v>
      </c>
      <c r="C90" t="s">
        <v>8</v>
      </c>
      <c r="D90">
        <v>93</v>
      </c>
      <c r="E90" t="s">
        <v>219</v>
      </c>
      <c r="F90">
        <v>97</v>
      </c>
      <c r="G90">
        <v>488</v>
      </c>
      <c r="H90" t="s">
        <v>220</v>
      </c>
      <c r="I90" t="s">
        <v>221</v>
      </c>
    </row>
    <row r="91" spans="1:9" x14ac:dyDescent="0.55000000000000004">
      <c r="A91">
        <v>94</v>
      </c>
      <c r="B91">
        <v>742</v>
      </c>
      <c r="C91" t="s">
        <v>8</v>
      </c>
      <c r="D91">
        <v>94</v>
      </c>
      <c r="E91" t="s">
        <v>222</v>
      </c>
      <c r="F91">
        <v>875</v>
      </c>
      <c r="G91">
        <v>1051</v>
      </c>
      <c r="H91" t="s">
        <v>223</v>
      </c>
      <c r="I91" t="s">
        <v>224</v>
      </c>
    </row>
    <row r="92" spans="1:9" x14ac:dyDescent="0.55000000000000004">
      <c r="A92">
        <v>95</v>
      </c>
      <c r="B92">
        <v>742</v>
      </c>
      <c r="C92" t="s">
        <v>8</v>
      </c>
      <c r="D92">
        <v>95</v>
      </c>
      <c r="E92" t="s">
        <v>225</v>
      </c>
      <c r="F92">
        <v>105</v>
      </c>
      <c r="G92">
        <v>783</v>
      </c>
      <c r="H92" t="s">
        <v>226</v>
      </c>
      <c r="I92" t="s">
        <v>227</v>
      </c>
    </row>
    <row r="93" spans="1:9" x14ac:dyDescent="0.55000000000000004">
      <c r="A93">
        <v>96</v>
      </c>
      <c r="B93">
        <v>742</v>
      </c>
      <c r="C93" t="s">
        <v>8</v>
      </c>
      <c r="D93">
        <v>96</v>
      </c>
      <c r="E93" t="s">
        <v>228</v>
      </c>
      <c r="F93">
        <v>399</v>
      </c>
      <c r="G93">
        <v>478</v>
      </c>
      <c r="H93" t="s">
        <v>229</v>
      </c>
      <c r="I93" t="s">
        <v>230</v>
      </c>
    </row>
    <row r="94" spans="1:9" x14ac:dyDescent="0.55000000000000004">
      <c r="A94">
        <v>97</v>
      </c>
      <c r="B94">
        <v>742</v>
      </c>
      <c r="C94" t="s">
        <v>8</v>
      </c>
      <c r="D94">
        <v>97</v>
      </c>
      <c r="E94" t="s">
        <v>231</v>
      </c>
      <c r="F94">
        <v>205</v>
      </c>
      <c r="G94">
        <v>3391</v>
      </c>
      <c r="H94" t="s">
        <v>232</v>
      </c>
      <c r="I94" t="s">
        <v>233</v>
      </c>
    </row>
    <row r="95" spans="1:9" x14ac:dyDescent="0.55000000000000004">
      <c r="A95">
        <v>98</v>
      </c>
      <c r="B95">
        <v>742</v>
      </c>
      <c r="C95" t="s">
        <v>8</v>
      </c>
      <c r="D95">
        <v>98</v>
      </c>
      <c r="E95" t="s">
        <v>234</v>
      </c>
      <c r="F95">
        <v>252</v>
      </c>
      <c r="G95">
        <v>401</v>
      </c>
      <c r="H95" t="s">
        <v>235</v>
      </c>
      <c r="I95" t="s">
        <v>236</v>
      </c>
    </row>
    <row r="96" spans="1:9" x14ac:dyDescent="0.55000000000000004">
      <c r="A96">
        <v>99</v>
      </c>
      <c r="B96">
        <v>742</v>
      </c>
      <c r="C96" t="s">
        <v>8</v>
      </c>
      <c r="D96">
        <v>99</v>
      </c>
      <c r="E96" t="s">
        <v>234</v>
      </c>
      <c r="F96">
        <v>287</v>
      </c>
      <c r="G96">
        <v>401</v>
      </c>
      <c r="H96" t="s">
        <v>237</v>
      </c>
      <c r="I96" t="s">
        <v>236</v>
      </c>
    </row>
    <row r="97" spans="1:9" x14ac:dyDescent="0.55000000000000004">
      <c r="A97">
        <v>100</v>
      </c>
      <c r="B97">
        <v>742</v>
      </c>
      <c r="C97" t="s">
        <v>8</v>
      </c>
      <c r="D97">
        <v>100</v>
      </c>
      <c r="E97" t="s">
        <v>238</v>
      </c>
      <c r="F97">
        <v>49</v>
      </c>
      <c r="G97">
        <v>999</v>
      </c>
      <c r="H97" t="e">
        <f>-------------------------------MMGLFPRTTGALAIFVVVILVHGELRIETKGQYDEEEMTMQQAKRRQKREWVKFAKPCREGEDNSKRNPIAKITSDYQATQKITYRISGVGIDQPPFGIFVVDKNTGDINITAIVDREETPSFLITCRA</f>
        <v>#NAME?</v>
      </c>
      <c r="I97" t="s">
        <v>239</v>
      </c>
    </row>
    <row r="98" spans="1:9" x14ac:dyDescent="0.55000000000000004">
      <c r="A98">
        <v>101</v>
      </c>
      <c r="B98">
        <v>742</v>
      </c>
      <c r="C98" t="s">
        <v>8</v>
      </c>
      <c r="D98">
        <v>101</v>
      </c>
      <c r="E98" t="s">
        <v>240</v>
      </c>
      <c r="F98">
        <v>80</v>
      </c>
      <c r="G98">
        <v>210</v>
      </c>
      <c r="H98" t="s">
        <v>241</v>
      </c>
      <c r="I98" t="s">
        <v>242</v>
      </c>
    </row>
    <row r="99" spans="1:9" x14ac:dyDescent="0.55000000000000004">
      <c r="A99">
        <v>102</v>
      </c>
      <c r="B99">
        <v>742</v>
      </c>
      <c r="C99" t="s">
        <v>8</v>
      </c>
      <c r="D99">
        <v>102</v>
      </c>
      <c r="E99" t="s">
        <v>243</v>
      </c>
      <c r="F99">
        <v>2731</v>
      </c>
      <c r="G99">
        <v>2871</v>
      </c>
      <c r="H99" t="s">
        <v>244</v>
      </c>
      <c r="I99" t="s">
        <v>245</v>
      </c>
    </row>
    <row r="100" spans="1:9" x14ac:dyDescent="0.55000000000000004">
      <c r="A100">
        <v>103</v>
      </c>
      <c r="B100">
        <v>742</v>
      </c>
      <c r="C100" t="s">
        <v>8</v>
      </c>
      <c r="D100">
        <v>103</v>
      </c>
      <c r="E100" t="s">
        <v>246</v>
      </c>
      <c r="F100">
        <v>643</v>
      </c>
      <c r="G100">
        <v>1457</v>
      </c>
      <c r="H100" t="s">
        <v>247</v>
      </c>
      <c r="I100" t="s">
        <v>248</v>
      </c>
    </row>
    <row r="101" spans="1:9" x14ac:dyDescent="0.55000000000000004">
      <c r="A101">
        <v>104</v>
      </c>
      <c r="B101">
        <v>742</v>
      </c>
      <c r="C101" t="s">
        <v>8</v>
      </c>
      <c r="D101">
        <v>104</v>
      </c>
      <c r="E101" t="s">
        <v>249</v>
      </c>
      <c r="F101">
        <v>380</v>
      </c>
      <c r="G101">
        <v>501</v>
      </c>
      <c r="H101" t="s">
        <v>250</v>
      </c>
      <c r="I101" t="s">
        <v>251</v>
      </c>
    </row>
    <row r="102" spans="1:9" x14ac:dyDescent="0.55000000000000004">
      <c r="A102">
        <v>105</v>
      </c>
      <c r="B102">
        <v>742</v>
      </c>
      <c r="C102" t="s">
        <v>8</v>
      </c>
      <c r="D102">
        <v>105</v>
      </c>
      <c r="E102" t="s">
        <v>249</v>
      </c>
      <c r="F102">
        <v>381</v>
      </c>
      <c r="G102">
        <v>501</v>
      </c>
      <c r="H102" t="s">
        <v>252</v>
      </c>
      <c r="I102" t="s">
        <v>251</v>
      </c>
    </row>
    <row r="103" spans="1:9" x14ac:dyDescent="0.55000000000000004">
      <c r="A103">
        <v>106</v>
      </c>
      <c r="B103">
        <v>742</v>
      </c>
      <c r="C103" t="s">
        <v>8</v>
      </c>
      <c r="D103">
        <v>106</v>
      </c>
      <c r="E103" t="s">
        <v>253</v>
      </c>
      <c r="F103">
        <v>445</v>
      </c>
      <c r="G103">
        <v>553</v>
      </c>
      <c r="H103" t="s">
        <v>254</v>
      </c>
      <c r="I103" t="s">
        <v>255</v>
      </c>
    </row>
    <row r="104" spans="1:9" x14ac:dyDescent="0.55000000000000004">
      <c r="A104">
        <v>107</v>
      </c>
      <c r="B104">
        <v>742</v>
      </c>
      <c r="C104" t="s">
        <v>8</v>
      </c>
      <c r="D104">
        <v>107</v>
      </c>
      <c r="E104" t="s">
        <v>256</v>
      </c>
      <c r="F104">
        <v>227</v>
      </c>
      <c r="G104">
        <v>419</v>
      </c>
      <c r="H104" t="s">
        <v>257</v>
      </c>
      <c r="I104" t="s">
        <v>258</v>
      </c>
    </row>
    <row r="105" spans="1:9" x14ac:dyDescent="0.55000000000000004">
      <c r="A105">
        <v>108</v>
      </c>
      <c r="B105">
        <v>742</v>
      </c>
      <c r="C105" t="s">
        <v>8</v>
      </c>
      <c r="D105">
        <v>108</v>
      </c>
      <c r="E105" t="s">
        <v>259</v>
      </c>
      <c r="F105">
        <v>111</v>
      </c>
      <c r="G105">
        <v>582</v>
      </c>
      <c r="H105" t="s">
        <v>260</v>
      </c>
      <c r="I105" t="s">
        <v>261</v>
      </c>
    </row>
    <row r="106" spans="1:9" x14ac:dyDescent="0.55000000000000004">
      <c r="A106">
        <v>109</v>
      </c>
      <c r="B106">
        <v>742</v>
      </c>
      <c r="C106" t="s">
        <v>8</v>
      </c>
      <c r="D106">
        <v>109</v>
      </c>
      <c r="E106" t="s">
        <v>262</v>
      </c>
      <c r="F106">
        <v>116</v>
      </c>
      <c r="G106">
        <v>607</v>
      </c>
      <c r="H106" t="s">
        <v>263</v>
      </c>
      <c r="I106" t="s">
        <v>264</v>
      </c>
    </row>
    <row r="107" spans="1:9" x14ac:dyDescent="0.55000000000000004">
      <c r="A107">
        <v>110</v>
      </c>
      <c r="B107">
        <v>742</v>
      </c>
      <c r="C107" t="s">
        <v>8</v>
      </c>
      <c r="D107">
        <v>110</v>
      </c>
      <c r="E107" t="s">
        <v>265</v>
      </c>
      <c r="F107">
        <v>45</v>
      </c>
      <c r="G107">
        <v>501</v>
      </c>
      <c r="H107" t="e">
        <f>-----------------------------------MAQALPWLLLWMGAGVLPAHGTQHGIRLPLRSGLGGAPLGLRLPRETDEEPEEPGRRGSFVEMVDNLRGKSGQGYYVEMTVGSPPQTLNILVDTGSSNFAVGAAPHPFLHRYYQRQLSSTYRDLR</f>
        <v>#NAME?</v>
      </c>
      <c r="I107" t="s">
        <v>266</v>
      </c>
    </row>
    <row r="108" spans="1:9" x14ac:dyDescent="0.55000000000000004">
      <c r="A108">
        <v>111</v>
      </c>
      <c r="B108">
        <v>742</v>
      </c>
      <c r="C108" t="s">
        <v>8</v>
      </c>
      <c r="D108">
        <v>111</v>
      </c>
      <c r="E108" t="s">
        <v>267</v>
      </c>
      <c r="F108">
        <v>45</v>
      </c>
      <c r="G108">
        <v>501</v>
      </c>
      <c r="H108" t="e">
        <f>-----------------------------------MAPALHWLLLWVGSGMLPAQGTHLGIRLPLRSGLAGPPLGLRLPRETDEESEEPGRRGSFVEMVDNLRGKSGQGYYVEMTVGSPPQTLNILVDTGSSNFAVGAAPHPFLHRYYQRQLSSTYRDLR</f>
        <v>#NAME?</v>
      </c>
      <c r="I108" t="s">
        <v>268</v>
      </c>
    </row>
    <row r="109" spans="1:9" x14ac:dyDescent="0.55000000000000004">
      <c r="A109">
        <v>112</v>
      </c>
      <c r="B109">
        <v>742</v>
      </c>
      <c r="C109" t="s">
        <v>8</v>
      </c>
      <c r="D109">
        <v>112</v>
      </c>
      <c r="E109" t="s">
        <v>269</v>
      </c>
      <c r="F109">
        <v>82</v>
      </c>
      <c r="G109">
        <v>1594</v>
      </c>
      <c r="H109" t="s">
        <v>270</v>
      </c>
      <c r="I109" t="s">
        <v>271</v>
      </c>
    </row>
    <row r="110" spans="1:9" x14ac:dyDescent="0.55000000000000004">
      <c r="A110">
        <v>113</v>
      </c>
      <c r="B110">
        <v>742</v>
      </c>
      <c r="C110" t="s">
        <v>8</v>
      </c>
      <c r="D110">
        <v>113</v>
      </c>
      <c r="E110" t="s">
        <v>269</v>
      </c>
      <c r="F110">
        <v>240</v>
      </c>
      <c r="G110">
        <v>1594</v>
      </c>
      <c r="H110" t="s">
        <v>272</v>
      </c>
      <c r="I110" t="s">
        <v>271</v>
      </c>
    </row>
    <row r="111" spans="1:9" x14ac:dyDescent="0.55000000000000004">
      <c r="A111">
        <v>114</v>
      </c>
      <c r="B111">
        <v>742</v>
      </c>
      <c r="C111" t="s">
        <v>8</v>
      </c>
      <c r="D111">
        <v>114</v>
      </c>
      <c r="E111" t="s">
        <v>273</v>
      </c>
      <c r="F111">
        <v>66</v>
      </c>
      <c r="G111">
        <v>1104</v>
      </c>
      <c r="H111" t="e">
        <f>--------------MASACQILRWALALGLGLTFKVTHAFRSQDELLSSLESYEIAFPTRVDHNGAMLAFSPPAFRRQRRGAGATTESRLFYKVAAPSTHFLLNLTRSPRLLAGHVSVEYWTREGLAWQRAARAHCLYAGHLQGQAGSSHVAVSTCGGLH</f>
        <v>#NAME?</v>
      </c>
      <c r="I111" t="s">
        <v>274</v>
      </c>
    </row>
    <row r="112" spans="1:9" x14ac:dyDescent="0.55000000000000004">
      <c r="A112">
        <v>115</v>
      </c>
      <c r="B112">
        <v>742</v>
      </c>
      <c r="C112" t="s">
        <v>8</v>
      </c>
      <c r="D112">
        <v>115</v>
      </c>
      <c r="E112" t="s">
        <v>273</v>
      </c>
      <c r="F112">
        <v>96</v>
      </c>
      <c r="G112">
        <v>1104</v>
      </c>
      <c r="H112" t="s">
        <v>275</v>
      </c>
      <c r="I112" t="s">
        <v>274</v>
      </c>
    </row>
    <row r="113" spans="1:9" x14ac:dyDescent="0.55000000000000004">
      <c r="A113">
        <v>116</v>
      </c>
      <c r="B113">
        <v>742</v>
      </c>
      <c r="C113" t="s">
        <v>8</v>
      </c>
      <c r="D113">
        <v>116</v>
      </c>
      <c r="E113" t="s">
        <v>273</v>
      </c>
      <c r="F113">
        <v>233</v>
      </c>
      <c r="G113">
        <v>1104</v>
      </c>
      <c r="H113" t="s">
        <v>276</v>
      </c>
      <c r="I113" t="s">
        <v>274</v>
      </c>
    </row>
    <row r="114" spans="1:9" x14ac:dyDescent="0.55000000000000004">
      <c r="A114">
        <v>117</v>
      </c>
      <c r="B114">
        <v>742</v>
      </c>
      <c r="C114" t="s">
        <v>8</v>
      </c>
      <c r="D114">
        <v>117</v>
      </c>
      <c r="E114" t="s">
        <v>277</v>
      </c>
      <c r="F114">
        <v>112</v>
      </c>
      <c r="G114">
        <v>550</v>
      </c>
      <c r="H114" t="s">
        <v>278</v>
      </c>
      <c r="I114" t="s">
        <v>279</v>
      </c>
    </row>
    <row r="115" spans="1:9" x14ac:dyDescent="0.55000000000000004">
      <c r="A115">
        <v>118</v>
      </c>
      <c r="B115">
        <v>742</v>
      </c>
      <c r="C115" t="s">
        <v>8</v>
      </c>
      <c r="D115">
        <v>118</v>
      </c>
      <c r="E115" t="s">
        <v>280</v>
      </c>
      <c r="F115">
        <v>200</v>
      </c>
      <c r="G115">
        <v>824</v>
      </c>
      <c r="H115" t="s">
        <v>281</v>
      </c>
      <c r="I115" t="s">
        <v>282</v>
      </c>
    </row>
    <row r="116" spans="1:9" x14ac:dyDescent="0.55000000000000004">
      <c r="A116">
        <v>119</v>
      </c>
      <c r="B116">
        <v>742</v>
      </c>
      <c r="C116" t="s">
        <v>8</v>
      </c>
      <c r="D116">
        <v>119</v>
      </c>
      <c r="E116" t="s">
        <v>283</v>
      </c>
      <c r="F116">
        <v>251</v>
      </c>
      <c r="G116">
        <v>968</v>
      </c>
      <c r="H116" t="s">
        <v>284</v>
      </c>
      <c r="I116" t="s">
        <v>285</v>
      </c>
    </row>
    <row r="117" spans="1:9" x14ac:dyDescent="0.55000000000000004">
      <c r="A117">
        <v>120</v>
      </c>
      <c r="B117">
        <v>742</v>
      </c>
      <c r="C117" t="s">
        <v>8</v>
      </c>
      <c r="D117">
        <v>120</v>
      </c>
      <c r="E117" t="s">
        <v>286</v>
      </c>
      <c r="F117">
        <v>1654</v>
      </c>
      <c r="G117">
        <v>2531</v>
      </c>
      <c r="H117" t="s">
        <v>287</v>
      </c>
      <c r="I117" t="s">
        <v>288</v>
      </c>
    </row>
    <row r="118" spans="1:9" x14ac:dyDescent="0.55000000000000004">
      <c r="A118">
        <v>121</v>
      </c>
      <c r="B118">
        <v>742</v>
      </c>
      <c r="C118" t="s">
        <v>8</v>
      </c>
      <c r="D118">
        <v>121</v>
      </c>
      <c r="E118" t="s">
        <v>289</v>
      </c>
      <c r="F118">
        <v>49</v>
      </c>
      <c r="G118">
        <v>1049</v>
      </c>
      <c r="H118" t="e">
        <f>-------------------------------MDWSFFRVVAMLFIFLVVVEVNSEFRIQVRDYNTKNGTIKWHSIRRQKREWIKFAAACREGEDNSKRNPIAKIHSDCAANQQVTYRISGVGIDQPPYGIFVINQKTGEINITSIVDREVTPFFIIYCRA</f>
        <v>#NAME?</v>
      </c>
      <c r="I118" t="s">
        <v>290</v>
      </c>
    </row>
    <row r="119" spans="1:9" x14ac:dyDescent="0.55000000000000004">
      <c r="A119">
        <v>122</v>
      </c>
      <c r="B119">
        <v>742</v>
      </c>
      <c r="C119" t="s">
        <v>8</v>
      </c>
      <c r="D119">
        <v>122</v>
      </c>
      <c r="E119" t="s">
        <v>291</v>
      </c>
      <c r="F119">
        <v>501</v>
      </c>
      <c r="G119">
        <v>676</v>
      </c>
      <c r="H119" t="s">
        <v>292</v>
      </c>
      <c r="I119" t="s">
        <v>293</v>
      </c>
    </row>
    <row r="120" spans="1:9" x14ac:dyDescent="0.55000000000000004">
      <c r="A120">
        <v>123</v>
      </c>
      <c r="B120">
        <v>742</v>
      </c>
      <c r="C120" t="s">
        <v>8</v>
      </c>
      <c r="D120">
        <v>123</v>
      </c>
      <c r="E120" t="s">
        <v>294</v>
      </c>
      <c r="F120">
        <v>204</v>
      </c>
      <c r="G120">
        <v>349</v>
      </c>
      <c r="H120" t="s">
        <v>295</v>
      </c>
      <c r="I120" t="s">
        <v>296</v>
      </c>
    </row>
    <row r="121" spans="1:9" x14ac:dyDescent="0.55000000000000004">
      <c r="A121">
        <v>124</v>
      </c>
      <c r="B121">
        <v>742</v>
      </c>
      <c r="C121" t="s">
        <v>8</v>
      </c>
      <c r="D121">
        <v>124</v>
      </c>
      <c r="E121" t="s">
        <v>297</v>
      </c>
      <c r="F121">
        <v>3943</v>
      </c>
      <c r="G121">
        <v>4544</v>
      </c>
      <c r="H121" t="s">
        <v>298</v>
      </c>
      <c r="I121" t="s">
        <v>299</v>
      </c>
    </row>
    <row r="122" spans="1:9" x14ac:dyDescent="0.55000000000000004">
      <c r="A122">
        <v>125</v>
      </c>
      <c r="B122">
        <v>742</v>
      </c>
      <c r="C122" t="s">
        <v>8</v>
      </c>
      <c r="D122">
        <v>125</v>
      </c>
      <c r="E122" t="s">
        <v>300</v>
      </c>
      <c r="F122">
        <v>779</v>
      </c>
      <c r="G122">
        <v>785</v>
      </c>
      <c r="H122" t="s">
        <v>301</v>
      </c>
      <c r="I122" t="s">
        <v>302</v>
      </c>
    </row>
    <row r="123" spans="1:9" x14ac:dyDescent="0.55000000000000004">
      <c r="A123">
        <v>126</v>
      </c>
      <c r="B123">
        <v>742</v>
      </c>
      <c r="C123" t="s">
        <v>8</v>
      </c>
      <c r="D123">
        <v>126</v>
      </c>
      <c r="E123" t="s">
        <v>303</v>
      </c>
      <c r="F123">
        <v>206</v>
      </c>
      <c r="G123">
        <v>863</v>
      </c>
      <c r="H123" t="s">
        <v>304</v>
      </c>
      <c r="I123" t="s">
        <v>305</v>
      </c>
    </row>
    <row r="124" spans="1:9" x14ac:dyDescent="0.55000000000000004">
      <c r="A124">
        <v>127</v>
      </c>
      <c r="B124">
        <v>742</v>
      </c>
      <c r="C124" t="s">
        <v>8</v>
      </c>
      <c r="D124">
        <v>127</v>
      </c>
      <c r="E124" t="s">
        <v>306</v>
      </c>
      <c r="F124">
        <v>958</v>
      </c>
      <c r="G124">
        <v>1181</v>
      </c>
      <c r="H124" t="s">
        <v>307</v>
      </c>
      <c r="I124" t="s">
        <v>308</v>
      </c>
    </row>
    <row r="125" spans="1:9" x14ac:dyDescent="0.55000000000000004">
      <c r="A125">
        <v>128</v>
      </c>
      <c r="B125">
        <v>742</v>
      </c>
      <c r="C125" t="s">
        <v>8</v>
      </c>
      <c r="D125">
        <v>128</v>
      </c>
      <c r="E125" t="s">
        <v>309</v>
      </c>
      <c r="F125">
        <v>555</v>
      </c>
      <c r="G125">
        <v>771</v>
      </c>
      <c r="H125" t="s">
        <v>310</v>
      </c>
      <c r="I125" t="s">
        <v>311</v>
      </c>
    </row>
    <row r="126" spans="1:9" x14ac:dyDescent="0.55000000000000004">
      <c r="A126">
        <v>129</v>
      </c>
      <c r="B126">
        <v>742</v>
      </c>
      <c r="C126" t="s">
        <v>8</v>
      </c>
      <c r="D126">
        <v>129</v>
      </c>
      <c r="E126" t="s">
        <v>312</v>
      </c>
      <c r="F126">
        <v>653</v>
      </c>
      <c r="G126">
        <v>746</v>
      </c>
      <c r="H126" t="s">
        <v>313</v>
      </c>
      <c r="I126" t="s">
        <v>314</v>
      </c>
    </row>
    <row r="127" spans="1:9" x14ac:dyDescent="0.55000000000000004">
      <c r="A127">
        <v>130</v>
      </c>
      <c r="B127">
        <v>742</v>
      </c>
      <c r="C127" t="s">
        <v>8</v>
      </c>
      <c r="D127">
        <v>130</v>
      </c>
      <c r="E127" t="s">
        <v>315</v>
      </c>
      <c r="F127">
        <v>95</v>
      </c>
      <c r="G127">
        <v>824</v>
      </c>
      <c r="H127" t="s">
        <v>316</v>
      </c>
      <c r="I127" t="s">
        <v>317</v>
      </c>
    </row>
    <row r="128" spans="1:9" x14ac:dyDescent="0.55000000000000004">
      <c r="A128">
        <v>131</v>
      </c>
      <c r="B128">
        <v>742</v>
      </c>
      <c r="C128" t="s">
        <v>8</v>
      </c>
      <c r="D128">
        <v>131</v>
      </c>
      <c r="E128" t="s">
        <v>318</v>
      </c>
      <c r="F128">
        <v>70</v>
      </c>
      <c r="G128">
        <v>797</v>
      </c>
      <c r="H128" t="e">
        <f>----------MELRPWLFWVVAAAGALVLLVADARGEKVFTNTWAVHIPGGPAVADRVARKHGFLNLGQIFGDYYHFWHRAVTKRSLSPHRLGHNRLQREPQVKWLEQQVAKRRAKRDIYQEPTDPKFPQQWYLSGVTQRDLNVKEAWAQGYTGRGIVVS</f>
        <v>#NAME?</v>
      </c>
      <c r="I128" t="s">
        <v>319</v>
      </c>
    </row>
    <row r="129" spans="1:9" x14ac:dyDescent="0.55000000000000004">
      <c r="A129">
        <v>132</v>
      </c>
      <c r="B129">
        <v>742</v>
      </c>
      <c r="C129" t="s">
        <v>8</v>
      </c>
      <c r="D129">
        <v>132</v>
      </c>
      <c r="E129" t="s">
        <v>318</v>
      </c>
      <c r="F129">
        <v>104</v>
      </c>
      <c r="G129">
        <v>797</v>
      </c>
      <c r="H129" t="s">
        <v>320</v>
      </c>
      <c r="I129" t="s">
        <v>319</v>
      </c>
    </row>
    <row r="130" spans="1:9" x14ac:dyDescent="0.55000000000000004">
      <c r="A130">
        <v>133</v>
      </c>
      <c r="B130">
        <v>742</v>
      </c>
      <c r="C130" t="s">
        <v>8</v>
      </c>
      <c r="D130">
        <v>133</v>
      </c>
      <c r="E130" t="s">
        <v>318</v>
      </c>
      <c r="F130">
        <v>107</v>
      </c>
      <c r="G130">
        <v>797</v>
      </c>
      <c r="H130" t="s">
        <v>321</v>
      </c>
      <c r="I130" t="s">
        <v>319</v>
      </c>
    </row>
    <row r="131" spans="1:9" x14ac:dyDescent="0.55000000000000004">
      <c r="A131">
        <v>134</v>
      </c>
      <c r="B131">
        <v>742</v>
      </c>
      <c r="C131" t="s">
        <v>8</v>
      </c>
      <c r="D131">
        <v>134</v>
      </c>
      <c r="E131" t="s">
        <v>322</v>
      </c>
      <c r="F131">
        <v>162</v>
      </c>
      <c r="G131">
        <v>615</v>
      </c>
      <c r="H131" t="s">
        <v>323</v>
      </c>
      <c r="I131" t="s">
        <v>324</v>
      </c>
    </row>
    <row r="132" spans="1:9" x14ac:dyDescent="0.55000000000000004">
      <c r="A132">
        <v>135</v>
      </c>
      <c r="B132">
        <v>742</v>
      </c>
      <c r="C132" t="s">
        <v>8</v>
      </c>
      <c r="D132">
        <v>135</v>
      </c>
      <c r="E132" t="s">
        <v>325</v>
      </c>
      <c r="F132">
        <v>832</v>
      </c>
      <c r="G132">
        <v>1927</v>
      </c>
      <c r="H132" t="s">
        <v>326</v>
      </c>
      <c r="I132" t="s">
        <v>327</v>
      </c>
    </row>
    <row r="133" spans="1:9" x14ac:dyDescent="0.55000000000000004">
      <c r="A133">
        <v>136</v>
      </c>
      <c r="B133">
        <v>742</v>
      </c>
      <c r="C133" t="s">
        <v>8</v>
      </c>
      <c r="D133">
        <v>136</v>
      </c>
      <c r="E133" t="s">
        <v>328</v>
      </c>
      <c r="F133">
        <v>256</v>
      </c>
      <c r="G133">
        <v>408</v>
      </c>
      <c r="H133" t="s">
        <v>329</v>
      </c>
      <c r="I133" t="s">
        <v>181</v>
      </c>
    </row>
    <row r="134" spans="1:9" x14ac:dyDescent="0.55000000000000004">
      <c r="A134">
        <v>137</v>
      </c>
      <c r="B134">
        <v>742</v>
      </c>
      <c r="C134" t="s">
        <v>8</v>
      </c>
      <c r="D134">
        <v>137</v>
      </c>
      <c r="E134" t="s">
        <v>330</v>
      </c>
      <c r="F134">
        <v>220</v>
      </c>
      <c r="G134">
        <v>791</v>
      </c>
      <c r="H134" t="s">
        <v>331</v>
      </c>
      <c r="I134" t="s">
        <v>332</v>
      </c>
    </row>
    <row r="135" spans="1:9" x14ac:dyDescent="0.55000000000000004">
      <c r="A135">
        <v>138</v>
      </c>
      <c r="B135">
        <v>742</v>
      </c>
      <c r="C135" t="s">
        <v>8</v>
      </c>
      <c r="D135">
        <v>138</v>
      </c>
      <c r="E135" t="s">
        <v>333</v>
      </c>
      <c r="F135">
        <v>205</v>
      </c>
      <c r="G135">
        <v>699</v>
      </c>
      <c r="H135" t="s">
        <v>334</v>
      </c>
      <c r="I135" t="s">
        <v>335</v>
      </c>
    </row>
    <row r="136" spans="1:9" x14ac:dyDescent="0.55000000000000004">
      <c r="A136">
        <v>139</v>
      </c>
      <c r="B136">
        <v>742</v>
      </c>
      <c r="C136" t="s">
        <v>8</v>
      </c>
      <c r="D136">
        <v>139</v>
      </c>
      <c r="E136" t="s">
        <v>333</v>
      </c>
      <c r="F136">
        <v>231</v>
      </c>
      <c r="G136">
        <v>699</v>
      </c>
      <c r="H136" t="s">
        <v>336</v>
      </c>
      <c r="I136" t="s">
        <v>335</v>
      </c>
    </row>
    <row r="137" spans="1:9" x14ac:dyDescent="0.55000000000000004">
      <c r="A137">
        <v>140</v>
      </c>
      <c r="B137">
        <v>742</v>
      </c>
      <c r="C137" t="s">
        <v>8</v>
      </c>
      <c r="D137">
        <v>140</v>
      </c>
      <c r="E137" t="s">
        <v>337</v>
      </c>
      <c r="F137">
        <v>58</v>
      </c>
      <c r="G137">
        <v>1657</v>
      </c>
      <c r="H137" t="e">
        <f>----------------------MHRGPSLLLILCALASRVLGPASGLVTEGRAGLDIVHPVRVDAGGSFLSYELWPRVLRKRDVSTTQASSAFYQLQYQGRELLFNLTTNPYLMAPGFVSEIRRHSTLGHAHIQTSVPTCHLLGDVQDPELEGGFAAISA</f>
        <v>#NAME?</v>
      </c>
      <c r="I137" t="s">
        <v>338</v>
      </c>
    </row>
    <row r="138" spans="1:9" x14ac:dyDescent="0.55000000000000004">
      <c r="A138">
        <v>141</v>
      </c>
      <c r="B138">
        <v>742</v>
      </c>
      <c r="C138" t="s">
        <v>8</v>
      </c>
      <c r="D138">
        <v>141</v>
      </c>
      <c r="E138" t="s">
        <v>337</v>
      </c>
      <c r="F138">
        <v>60</v>
      </c>
      <c r="G138">
        <v>1657</v>
      </c>
      <c r="H138" t="e">
        <f>--------------------MHRGPSLLLILCALASRVLGPASGLVTEGRAGLDIVHPVRVDAGGSFLSYELWPRVLRKRDVSTTQASSAFYQLQYQGRELLFNLTTNPYLMAPGFVSEIRRHSTLGHAHIQTSVPTCHLLGDVQDPELEGGFAAISACD</f>
        <v>#NAME?</v>
      </c>
      <c r="I138" t="s">
        <v>338</v>
      </c>
    </row>
    <row r="139" spans="1:9" x14ac:dyDescent="0.55000000000000004">
      <c r="A139">
        <v>142</v>
      </c>
      <c r="B139">
        <v>742</v>
      </c>
      <c r="C139" t="s">
        <v>8</v>
      </c>
      <c r="D139">
        <v>142</v>
      </c>
      <c r="E139" t="s">
        <v>337</v>
      </c>
      <c r="F139">
        <v>220</v>
      </c>
      <c r="G139">
        <v>1657</v>
      </c>
      <c r="H139" t="s">
        <v>339</v>
      </c>
      <c r="I139" t="s">
        <v>338</v>
      </c>
    </row>
    <row r="140" spans="1:9" x14ac:dyDescent="0.55000000000000004">
      <c r="A140">
        <v>143</v>
      </c>
      <c r="B140">
        <v>742</v>
      </c>
      <c r="C140" t="s">
        <v>8</v>
      </c>
      <c r="D140">
        <v>143</v>
      </c>
      <c r="E140" t="s">
        <v>340</v>
      </c>
      <c r="F140">
        <v>460</v>
      </c>
      <c r="G140">
        <v>907</v>
      </c>
      <c r="H140" t="s">
        <v>186</v>
      </c>
      <c r="I140" t="s">
        <v>341</v>
      </c>
    </row>
    <row r="141" spans="1:9" x14ac:dyDescent="0.55000000000000004">
      <c r="A141">
        <v>144</v>
      </c>
      <c r="B141">
        <v>742</v>
      </c>
      <c r="C141" t="s">
        <v>8</v>
      </c>
      <c r="D141">
        <v>144</v>
      </c>
      <c r="E141" t="s">
        <v>342</v>
      </c>
      <c r="F141">
        <v>74</v>
      </c>
      <c r="G141">
        <v>1427</v>
      </c>
      <c r="H141" t="e">
        <f>------MHQRHPRARCPPLCVAGILACGFLLGCWGPSHFQQSCLQALEPQAVSSYLSPGAPLKGRPPSPGFQRQRQRQRRAAGGILHLELLVAVGPDVFQAHQEDTERYVLTNLNIGAELLRDPSLGAQFRVHLVKMVILTEPEGAPNITANLTSSLLSV</f>
        <v>#NAME?</v>
      </c>
      <c r="I141" t="s">
        <v>343</v>
      </c>
    </row>
    <row r="142" spans="1:9" x14ac:dyDescent="0.55000000000000004">
      <c r="A142">
        <v>145</v>
      </c>
      <c r="B142">
        <v>742</v>
      </c>
      <c r="C142" t="s">
        <v>8</v>
      </c>
      <c r="D142">
        <v>145</v>
      </c>
      <c r="E142" t="s">
        <v>344</v>
      </c>
      <c r="F142">
        <v>342</v>
      </c>
      <c r="G142">
        <v>392</v>
      </c>
      <c r="H142" t="s">
        <v>345</v>
      </c>
      <c r="I142" t="s">
        <v>346</v>
      </c>
    </row>
    <row r="143" spans="1:9" x14ac:dyDescent="0.55000000000000004">
      <c r="A143">
        <v>146</v>
      </c>
      <c r="B143">
        <v>742</v>
      </c>
      <c r="C143" t="s">
        <v>8</v>
      </c>
      <c r="D143">
        <v>146</v>
      </c>
      <c r="E143" t="s">
        <v>347</v>
      </c>
      <c r="F143">
        <v>898</v>
      </c>
      <c r="G143">
        <v>1053</v>
      </c>
      <c r="H143" t="s">
        <v>348</v>
      </c>
      <c r="I143" t="s">
        <v>349</v>
      </c>
    </row>
    <row r="144" spans="1:9" x14ac:dyDescent="0.55000000000000004">
      <c r="A144">
        <v>147</v>
      </c>
      <c r="B144">
        <v>742</v>
      </c>
      <c r="C144" t="s">
        <v>8</v>
      </c>
      <c r="D144">
        <v>147</v>
      </c>
      <c r="E144" t="s">
        <v>350</v>
      </c>
      <c r="F144">
        <v>109</v>
      </c>
      <c r="G144">
        <v>539</v>
      </c>
      <c r="H144" t="s">
        <v>351</v>
      </c>
      <c r="I144" t="s">
        <v>352</v>
      </c>
    </row>
    <row r="145" spans="1:9" x14ac:dyDescent="0.55000000000000004">
      <c r="A145">
        <v>148</v>
      </c>
      <c r="B145">
        <v>742</v>
      </c>
      <c r="C145" t="s">
        <v>8</v>
      </c>
      <c r="D145">
        <v>148</v>
      </c>
      <c r="E145" t="s">
        <v>353</v>
      </c>
      <c r="F145">
        <v>94</v>
      </c>
      <c r="G145">
        <v>549</v>
      </c>
      <c r="H145" t="s">
        <v>354</v>
      </c>
      <c r="I145" t="s">
        <v>355</v>
      </c>
    </row>
    <row r="146" spans="1:9" x14ac:dyDescent="0.55000000000000004">
      <c r="A146">
        <v>149</v>
      </c>
      <c r="B146">
        <v>742</v>
      </c>
      <c r="C146" t="s">
        <v>8</v>
      </c>
      <c r="D146">
        <v>149</v>
      </c>
      <c r="E146" t="s">
        <v>356</v>
      </c>
      <c r="F146">
        <v>398</v>
      </c>
      <c r="G146">
        <v>440</v>
      </c>
      <c r="H146" t="s">
        <v>357</v>
      </c>
      <c r="I146" t="s">
        <v>358</v>
      </c>
    </row>
    <row r="147" spans="1:9" x14ac:dyDescent="0.55000000000000004">
      <c r="A147">
        <v>150</v>
      </c>
      <c r="B147">
        <v>742</v>
      </c>
      <c r="C147" t="s">
        <v>8</v>
      </c>
      <c r="D147">
        <v>150</v>
      </c>
      <c r="E147" t="s">
        <v>359</v>
      </c>
      <c r="F147">
        <v>99</v>
      </c>
      <c r="G147">
        <v>532</v>
      </c>
      <c r="H147" t="s">
        <v>360</v>
      </c>
      <c r="I147" t="s">
        <v>361</v>
      </c>
    </row>
    <row r="148" spans="1:9" x14ac:dyDescent="0.55000000000000004">
      <c r="A148">
        <v>151</v>
      </c>
      <c r="B148">
        <v>742</v>
      </c>
      <c r="C148" t="s">
        <v>8</v>
      </c>
      <c r="D148">
        <v>151</v>
      </c>
      <c r="E148" t="s">
        <v>362</v>
      </c>
      <c r="F148">
        <v>144</v>
      </c>
      <c r="G148">
        <v>569</v>
      </c>
      <c r="H148" t="s">
        <v>363</v>
      </c>
      <c r="I148" t="s">
        <v>364</v>
      </c>
    </row>
    <row r="149" spans="1:9" x14ac:dyDescent="0.55000000000000004">
      <c r="A149">
        <v>152</v>
      </c>
      <c r="B149">
        <v>742</v>
      </c>
      <c r="C149" t="s">
        <v>8</v>
      </c>
      <c r="D149">
        <v>152</v>
      </c>
      <c r="E149" t="s">
        <v>365</v>
      </c>
      <c r="F149">
        <v>218</v>
      </c>
      <c r="G149">
        <v>692</v>
      </c>
      <c r="H149" t="s">
        <v>366</v>
      </c>
      <c r="I149" t="s">
        <v>367</v>
      </c>
    </row>
    <row r="150" spans="1:9" x14ac:dyDescent="0.55000000000000004">
      <c r="A150">
        <v>153</v>
      </c>
      <c r="B150">
        <v>742</v>
      </c>
      <c r="C150" t="s">
        <v>8</v>
      </c>
      <c r="D150">
        <v>153</v>
      </c>
      <c r="E150" t="s">
        <v>368</v>
      </c>
      <c r="F150">
        <v>104</v>
      </c>
      <c r="G150">
        <v>250</v>
      </c>
      <c r="H150" t="s">
        <v>369</v>
      </c>
      <c r="I150" t="s">
        <v>370</v>
      </c>
    </row>
    <row r="151" spans="1:9" x14ac:dyDescent="0.55000000000000004">
      <c r="A151">
        <v>154</v>
      </c>
      <c r="B151">
        <v>742</v>
      </c>
      <c r="C151" t="s">
        <v>8</v>
      </c>
      <c r="D151">
        <v>154</v>
      </c>
      <c r="E151" t="s">
        <v>371</v>
      </c>
      <c r="F151">
        <v>116</v>
      </c>
      <c r="G151">
        <v>551</v>
      </c>
      <c r="H151" t="s">
        <v>372</v>
      </c>
      <c r="I151" t="s">
        <v>373</v>
      </c>
    </row>
    <row r="152" spans="1:9" x14ac:dyDescent="0.55000000000000004">
      <c r="A152">
        <v>155</v>
      </c>
      <c r="B152">
        <v>742</v>
      </c>
      <c r="C152" t="s">
        <v>8</v>
      </c>
      <c r="D152">
        <v>155</v>
      </c>
      <c r="E152" t="s">
        <v>374</v>
      </c>
      <c r="F152">
        <v>249</v>
      </c>
      <c r="G152">
        <v>1223</v>
      </c>
      <c r="H152" t="s">
        <v>375</v>
      </c>
      <c r="I152" t="s">
        <v>376</v>
      </c>
    </row>
    <row r="153" spans="1:9" x14ac:dyDescent="0.55000000000000004">
      <c r="A153">
        <v>156</v>
      </c>
      <c r="B153">
        <v>742</v>
      </c>
      <c r="C153" t="s">
        <v>8</v>
      </c>
      <c r="D153">
        <v>156</v>
      </c>
      <c r="E153" t="s">
        <v>377</v>
      </c>
      <c r="F153">
        <v>108</v>
      </c>
      <c r="G153">
        <v>789</v>
      </c>
      <c r="H153" t="s">
        <v>378</v>
      </c>
      <c r="I153" t="s">
        <v>379</v>
      </c>
    </row>
    <row r="154" spans="1:9" x14ac:dyDescent="0.55000000000000004">
      <c r="A154">
        <v>157</v>
      </c>
      <c r="B154">
        <v>742</v>
      </c>
      <c r="C154" t="s">
        <v>8</v>
      </c>
      <c r="D154">
        <v>157</v>
      </c>
      <c r="E154" t="s">
        <v>380</v>
      </c>
      <c r="F154">
        <v>81</v>
      </c>
      <c r="G154">
        <v>2214</v>
      </c>
      <c r="H154" t="s">
        <v>381</v>
      </c>
      <c r="I154" t="s">
        <v>382</v>
      </c>
    </row>
    <row r="155" spans="1:9" x14ac:dyDescent="0.55000000000000004">
      <c r="A155">
        <v>158</v>
      </c>
      <c r="B155">
        <v>742</v>
      </c>
      <c r="C155" t="s">
        <v>8</v>
      </c>
      <c r="D155">
        <v>158</v>
      </c>
      <c r="E155" t="s">
        <v>383</v>
      </c>
      <c r="F155">
        <v>159</v>
      </c>
      <c r="G155">
        <v>391</v>
      </c>
      <c r="H155" t="s">
        <v>384</v>
      </c>
      <c r="I155" t="s">
        <v>385</v>
      </c>
    </row>
    <row r="156" spans="1:9" x14ac:dyDescent="0.55000000000000004">
      <c r="A156">
        <v>159</v>
      </c>
      <c r="B156">
        <v>742</v>
      </c>
      <c r="C156" t="s">
        <v>8</v>
      </c>
      <c r="D156">
        <v>159</v>
      </c>
      <c r="E156" t="s">
        <v>386</v>
      </c>
      <c r="F156">
        <v>62</v>
      </c>
      <c r="G156">
        <v>208</v>
      </c>
      <c r="H156" t="e">
        <f>------------------MKLLPSVVLKLFLAAVLSALVTGESLERLRRGLAAGTSNPDPPTVSTDQLLPLGGGRDRKVRDLQEADLDLLRVTLSSKPQALATPNKEEHGKRKKKGKGLGKKRDPCLRKYKDFCIHGECKYVKELRAPSCICHPGYHGER</f>
        <v>#NAME?</v>
      </c>
      <c r="I156" t="s">
        <v>387</v>
      </c>
    </row>
    <row r="157" spans="1:9" x14ac:dyDescent="0.55000000000000004">
      <c r="A157">
        <v>160</v>
      </c>
      <c r="B157">
        <v>742</v>
      </c>
      <c r="C157" t="s">
        <v>8</v>
      </c>
      <c r="D157">
        <v>160</v>
      </c>
      <c r="E157" t="s">
        <v>388</v>
      </c>
      <c r="F157">
        <v>273</v>
      </c>
      <c r="G157">
        <v>315</v>
      </c>
      <c r="H157" t="s">
        <v>389</v>
      </c>
      <c r="I157" t="s">
        <v>390</v>
      </c>
    </row>
    <row r="158" spans="1:9" x14ac:dyDescent="0.55000000000000004">
      <c r="A158">
        <v>161</v>
      </c>
      <c r="B158">
        <v>742</v>
      </c>
      <c r="C158" t="s">
        <v>8</v>
      </c>
      <c r="D158">
        <v>161</v>
      </c>
      <c r="E158" t="s">
        <v>391</v>
      </c>
      <c r="F158">
        <v>257</v>
      </c>
      <c r="G158">
        <v>370</v>
      </c>
      <c r="H158" t="s">
        <v>392</v>
      </c>
      <c r="I158" t="s">
        <v>393</v>
      </c>
    </row>
    <row r="159" spans="1:9" x14ac:dyDescent="0.55000000000000004">
      <c r="A159">
        <v>162</v>
      </c>
      <c r="B159">
        <v>742</v>
      </c>
      <c r="C159" t="s">
        <v>8</v>
      </c>
      <c r="D159">
        <v>162</v>
      </c>
      <c r="E159" t="s">
        <v>394</v>
      </c>
      <c r="F159">
        <v>179</v>
      </c>
      <c r="G159">
        <v>251</v>
      </c>
      <c r="H159" t="s">
        <v>395</v>
      </c>
      <c r="I159" t="s">
        <v>396</v>
      </c>
    </row>
    <row r="160" spans="1:9" x14ac:dyDescent="0.55000000000000004">
      <c r="A160">
        <v>163</v>
      </c>
      <c r="B160">
        <v>742</v>
      </c>
      <c r="C160" t="s">
        <v>8</v>
      </c>
      <c r="D160">
        <v>163</v>
      </c>
      <c r="E160" t="s">
        <v>397</v>
      </c>
      <c r="F160">
        <v>203</v>
      </c>
      <c r="G160">
        <v>955</v>
      </c>
      <c r="H160" t="s">
        <v>398</v>
      </c>
      <c r="I160" t="s">
        <v>399</v>
      </c>
    </row>
    <row r="161" spans="1:9" x14ac:dyDescent="0.55000000000000004">
      <c r="A161">
        <v>164</v>
      </c>
      <c r="B161">
        <v>742</v>
      </c>
      <c r="C161" t="s">
        <v>8</v>
      </c>
      <c r="D161">
        <v>164</v>
      </c>
      <c r="E161" t="s">
        <v>400</v>
      </c>
      <c r="F161">
        <v>66</v>
      </c>
      <c r="G161">
        <v>1103</v>
      </c>
      <c r="H161" t="e">
        <f>--------------MAPACQILRWALALGLGLMFEVTHAFRSQDEFLSSLESYEIAFPTRVDHNGALLAFSPPPPRRQRRGTGATAESRLFYKVASPSTHFLLNLTRSSRLLAGHVSVEYWTREGLAWQRAARPHCLYAGHLQGQASTSHVAISTCGGLH</f>
        <v>#NAME?</v>
      </c>
      <c r="I161" t="s">
        <v>401</v>
      </c>
    </row>
    <row r="162" spans="1:9" x14ac:dyDescent="0.55000000000000004">
      <c r="A162">
        <v>165</v>
      </c>
      <c r="B162">
        <v>742</v>
      </c>
      <c r="C162" t="s">
        <v>8</v>
      </c>
      <c r="D162">
        <v>165</v>
      </c>
      <c r="E162" t="s">
        <v>400</v>
      </c>
      <c r="F162">
        <v>96</v>
      </c>
      <c r="G162">
        <v>1103</v>
      </c>
      <c r="H162" t="s">
        <v>402</v>
      </c>
      <c r="I162" t="s">
        <v>401</v>
      </c>
    </row>
    <row r="163" spans="1:9" x14ac:dyDescent="0.55000000000000004">
      <c r="A163">
        <v>166</v>
      </c>
      <c r="B163">
        <v>742</v>
      </c>
      <c r="C163" t="s">
        <v>8</v>
      </c>
      <c r="D163">
        <v>166</v>
      </c>
      <c r="E163" t="s">
        <v>400</v>
      </c>
      <c r="F163">
        <v>233</v>
      </c>
      <c r="G163">
        <v>1103</v>
      </c>
      <c r="H163" t="s">
        <v>403</v>
      </c>
      <c r="I163" t="s">
        <v>401</v>
      </c>
    </row>
    <row r="164" spans="1:9" x14ac:dyDescent="0.55000000000000004">
      <c r="A164">
        <v>167</v>
      </c>
      <c r="B164">
        <v>742</v>
      </c>
      <c r="C164" t="s">
        <v>8</v>
      </c>
      <c r="D164">
        <v>167</v>
      </c>
      <c r="E164" t="s">
        <v>404</v>
      </c>
      <c r="F164">
        <v>218</v>
      </c>
      <c r="G164">
        <v>326</v>
      </c>
      <c r="H164" t="s">
        <v>405</v>
      </c>
      <c r="I164" t="s">
        <v>406</v>
      </c>
    </row>
    <row r="165" spans="1:9" x14ac:dyDescent="0.55000000000000004">
      <c r="A165">
        <v>168</v>
      </c>
      <c r="B165">
        <v>742</v>
      </c>
      <c r="C165" t="s">
        <v>8</v>
      </c>
      <c r="D165">
        <v>168</v>
      </c>
      <c r="E165" t="s">
        <v>407</v>
      </c>
      <c r="F165">
        <v>107</v>
      </c>
      <c r="G165">
        <v>562</v>
      </c>
      <c r="H165" t="s">
        <v>408</v>
      </c>
      <c r="I165" t="s">
        <v>409</v>
      </c>
    </row>
    <row r="166" spans="1:9" x14ac:dyDescent="0.55000000000000004">
      <c r="A166">
        <v>169</v>
      </c>
      <c r="B166">
        <v>742</v>
      </c>
      <c r="C166" t="s">
        <v>8</v>
      </c>
      <c r="D166">
        <v>169</v>
      </c>
      <c r="E166" t="s">
        <v>410</v>
      </c>
      <c r="F166">
        <v>234</v>
      </c>
      <c r="G166">
        <v>345</v>
      </c>
      <c r="H166" t="s">
        <v>411</v>
      </c>
      <c r="I166" t="s">
        <v>412</v>
      </c>
    </row>
    <row r="167" spans="1:9" x14ac:dyDescent="0.55000000000000004">
      <c r="A167">
        <v>170</v>
      </c>
      <c r="B167">
        <v>742</v>
      </c>
      <c r="C167" t="s">
        <v>8</v>
      </c>
      <c r="D167">
        <v>170</v>
      </c>
      <c r="E167" t="s">
        <v>413</v>
      </c>
      <c r="F167">
        <v>287</v>
      </c>
      <c r="G167">
        <v>1935</v>
      </c>
      <c r="H167" t="s">
        <v>414</v>
      </c>
      <c r="I167" t="s">
        <v>415</v>
      </c>
    </row>
    <row r="168" spans="1:9" x14ac:dyDescent="0.55000000000000004">
      <c r="A168">
        <v>171</v>
      </c>
      <c r="B168">
        <v>742</v>
      </c>
      <c r="C168" t="s">
        <v>8</v>
      </c>
      <c r="D168">
        <v>171</v>
      </c>
      <c r="E168" t="s">
        <v>416</v>
      </c>
      <c r="F168">
        <v>165</v>
      </c>
      <c r="G168">
        <v>191</v>
      </c>
      <c r="H168" t="s">
        <v>417</v>
      </c>
      <c r="I168" t="s">
        <v>418</v>
      </c>
    </row>
    <row r="169" spans="1:9" x14ac:dyDescent="0.55000000000000004">
      <c r="A169">
        <v>172</v>
      </c>
      <c r="B169">
        <v>742</v>
      </c>
      <c r="C169" t="s">
        <v>8</v>
      </c>
      <c r="D169">
        <v>172</v>
      </c>
      <c r="E169" t="s">
        <v>419</v>
      </c>
      <c r="F169">
        <v>230</v>
      </c>
      <c r="G169">
        <v>930</v>
      </c>
      <c r="H169" t="s">
        <v>420</v>
      </c>
      <c r="I169" t="s">
        <v>421</v>
      </c>
    </row>
    <row r="170" spans="1:9" x14ac:dyDescent="0.55000000000000004">
      <c r="A170">
        <v>173</v>
      </c>
      <c r="B170">
        <v>742</v>
      </c>
      <c r="C170" t="s">
        <v>8</v>
      </c>
      <c r="D170">
        <v>173</v>
      </c>
      <c r="E170" t="s">
        <v>419</v>
      </c>
      <c r="F170">
        <v>260</v>
      </c>
      <c r="G170">
        <v>930</v>
      </c>
      <c r="H170" t="s">
        <v>422</v>
      </c>
      <c r="I170" t="s">
        <v>421</v>
      </c>
    </row>
    <row r="171" spans="1:9" x14ac:dyDescent="0.55000000000000004">
      <c r="A171">
        <v>174</v>
      </c>
      <c r="B171">
        <v>742</v>
      </c>
      <c r="C171" t="s">
        <v>8</v>
      </c>
      <c r="D171">
        <v>174</v>
      </c>
      <c r="E171" t="s">
        <v>419</v>
      </c>
      <c r="F171">
        <v>261</v>
      </c>
      <c r="G171">
        <v>930</v>
      </c>
      <c r="H171" t="s">
        <v>423</v>
      </c>
      <c r="I171" t="s">
        <v>421</v>
      </c>
    </row>
    <row r="172" spans="1:9" x14ac:dyDescent="0.55000000000000004">
      <c r="A172">
        <v>175</v>
      </c>
      <c r="B172">
        <v>742</v>
      </c>
      <c r="C172" t="s">
        <v>8</v>
      </c>
      <c r="D172">
        <v>175</v>
      </c>
      <c r="E172" t="s">
        <v>424</v>
      </c>
      <c r="F172">
        <v>225</v>
      </c>
      <c r="G172">
        <v>463</v>
      </c>
      <c r="H172" t="s">
        <v>425</v>
      </c>
      <c r="I172" t="s">
        <v>426</v>
      </c>
    </row>
    <row r="173" spans="1:9" x14ac:dyDescent="0.55000000000000004">
      <c r="A173">
        <v>176</v>
      </c>
      <c r="B173">
        <v>742</v>
      </c>
      <c r="C173" t="s">
        <v>8</v>
      </c>
      <c r="D173">
        <v>176</v>
      </c>
      <c r="E173" t="s">
        <v>427</v>
      </c>
      <c r="F173">
        <v>252</v>
      </c>
      <c r="G173">
        <v>967</v>
      </c>
      <c r="H173" t="s">
        <v>428</v>
      </c>
      <c r="I173" t="s">
        <v>429</v>
      </c>
    </row>
    <row r="174" spans="1:9" x14ac:dyDescent="0.55000000000000004">
      <c r="A174">
        <v>177</v>
      </c>
      <c r="B174">
        <v>742</v>
      </c>
      <c r="C174" t="s">
        <v>8</v>
      </c>
      <c r="D174">
        <v>177</v>
      </c>
      <c r="E174" t="s">
        <v>430</v>
      </c>
      <c r="F174">
        <v>68</v>
      </c>
      <c r="G174">
        <v>1686</v>
      </c>
      <c r="H174" t="e">
        <f>------------MPGGPSPRSPAPLLRPLLLLLCALAPGAPGPAPGRATEGRAALDIVHPVRVDAGGSFLSYELWPRALRKRDVSVRRDAPAFYELQYRGRELRFNLTANQHLLAPGFVSETRRRGGLGRAHIRAHTPACHLLGEVQDPELEGGLAAISA</f>
        <v>#NAME?</v>
      </c>
      <c r="I174" t="s">
        <v>431</v>
      </c>
    </row>
    <row r="175" spans="1:9" x14ac:dyDescent="0.55000000000000004">
      <c r="A175">
        <v>178</v>
      </c>
      <c r="B175">
        <v>742</v>
      </c>
      <c r="C175" t="s">
        <v>8</v>
      </c>
      <c r="D175">
        <v>178</v>
      </c>
      <c r="E175" t="s">
        <v>430</v>
      </c>
      <c r="F175">
        <v>70</v>
      </c>
      <c r="G175">
        <v>1686</v>
      </c>
      <c r="H175" t="e">
        <f>----------MPGGPSPRSPAPLLRPLLLLLCALAPGAPGPAPGRATEGRAALDIVHPVRVDAGGSFLSYELWPRALRKRDVSVRRDAPAFYELQYRGRELRFNLTANQHLLAPGFVSETRRRGGLGRAHIRAHTPACHLLGEVQDPELEGGLAAISACD</f>
        <v>#NAME?</v>
      </c>
      <c r="I175" t="s">
        <v>431</v>
      </c>
    </row>
    <row r="176" spans="1:9" x14ac:dyDescent="0.55000000000000004">
      <c r="A176">
        <v>179</v>
      </c>
      <c r="B176">
        <v>742</v>
      </c>
      <c r="C176" t="s">
        <v>8</v>
      </c>
      <c r="D176">
        <v>179</v>
      </c>
      <c r="E176" t="s">
        <v>430</v>
      </c>
      <c r="F176">
        <v>92</v>
      </c>
      <c r="G176">
        <v>1686</v>
      </c>
      <c r="H176" t="s">
        <v>432</v>
      </c>
      <c r="I176" t="s">
        <v>431</v>
      </c>
    </row>
    <row r="177" spans="1:9" x14ac:dyDescent="0.55000000000000004">
      <c r="A177">
        <v>180</v>
      </c>
      <c r="B177">
        <v>742</v>
      </c>
      <c r="C177" t="s">
        <v>8</v>
      </c>
      <c r="D177">
        <v>180</v>
      </c>
      <c r="E177" t="s">
        <v>430</v>
      </c>
      <c r="F177">
        <v>218</v>
      </c>
      <c r="G177">
        <v>1686</v>
      </c>
      <c r="H177" t="s">
        <v>433</v>
      </c>
      <c r="I177" t="s">
        <v>431</v>
      </c>
    </row>
    <row r="178" spans="1:9" x14ac:dyDescent="0.55000000000000004">
      <c r="A178">
        <v>181</v>
      </c>
      <c r="B178">
        <v>742</v>
      </c>
      <c r="C178" t="s">
        <v>8</v>
      </c>
      <c r="D178">
        <v>181</v>
      </c>
      <c r="E178" t="s">
        <v>430</v>
      </c>
      <c r="F178">
        <v>229</v>
      </c>
      <c r="G178">
        <v>1686</v>
      </c>
      <c r="H178" t="s">
        <v>434</v>
      </c>
      <c r="I178" t="s">
        <v>431</v>
      </c>
    </row>
    <row r="179" spans="1:9" x14ac:dyDescent="0.55000000000000004">
      <c r="A179">
        <v>182</v>
      </c>
      <c r="B179">
        <v>742</v>
      </c>
      <c r="C179" t="s">
        <v>8</v>
      </c>
      <c r="D179">
        <v>182</v>
      </c>
      <c r="E179" t="s">
        <v>430</v>
      </c>
      <c r="F179">
        <v>232</v>
      </c>
      <c r="G179">
        <v>1686</v>
      </c>
      <c r="H179" t="s">
        <v>435</v>
      </c>
      <c r="I179" t="s">
        <v>431</v>
      </c>
    </row>
    <row r="180" spans="1:9" x14ac:dyDescent="0.55000000000000004">
      <c r="A180">
        <v>183</v>
      </c>
      <c r="B180">
        <v>742</v>
      </c>
      <c r="C180" t="s">
        <v>8</v>
      </c>
      <c r="D180">
        <v>183</v>
      </c>
      <c r="E180" t="s">
        <v>430</v>
      </c>
      <c r="F180">
        <v>236</v>
      </c>
      <c r="G180">
        <v>1686</v>
      </c>
      <c r="H180" t="s">
        <v>436</v>
      </c>
      <c r="I180" t="s">
        <v>431</v>
      </c>
    </row>
    <row r="181" spans="1:9" x14ac:dyDescent="0.55000000000000004">
      <c r="A181">
        <v>184</v>
      </c>
      <c r="B181">
        <v>742</v>
      </c>
      <c r="C181" t="s">
        <v>8</v>
      </c>
      <c r="D181">
        <v>184</v>
      </c>
      <c r="E181" t="s">
        <v>437</v>
      </c>
      <c r="F181">
        <v>71</v>
      </c>
      <c r="G181">
        <v>1117</v>
      </c>
      <c r="H181" t="e">
        <f>---------MEILWKTLTWILSLIMASSEFHSDHRLSYSSQEEFLTYLEHYQLTIPIRVDQNGAFLSFTVKNDKHSRRRRSMDPIDPQQAVSKLFFKLSAYGKHFHLNLTLNTDFVSKHFTVEYWGKDGPQWKHDFLDNCHYTGYLQDQRSTTKVALSNC</f>
        <v>#NAME?</v>
      </c>
      <c r="I181" t="s">
        <v>438</v>
      </c>
    </row>
    <row r="182" spans="1:9" x14ac:dyDescent="0.55000000000000004">
      <c r="A182">
        <v>185</v>
      </c>
      <c r="B182">
        <v>742</v>
      </c>
      <c r="C182" t="s">
        <v>8</v>
      </c>
      <c r="D182">
        <v>185</v>
      </c>
      <c r="E182" t="s">
        <v>437</v>
      </c>
      <c r="F182">
        <v>244</v>
      </c>
      <c r="G182">
        <v>1117</v>
      </c>
      <c r="H182" t="s">
        <v>439</v>
      </c>
      <c r="I182" t="s">
        <v>438</v>
      </c>
    </row>
    <row r="183" spans="1:9" x14ac:dyDescent="0.55000000000000004">
      <c r="A183">
        <v>186</v>
      </c>
      <c r="B183">
        <v>742</v>
      </c>
      <c r="C183" t="s">
        <v>8</v>
      </c>
      <c r="D183">
        <v>186</v>
      </c>
      <c r="E183" t="s">
        <v>440</v>
      </c>
      <c r="F183">
        <v>466</v>
      </c>
      <c r="G183">
        <v>801</v>
      </c>
      <c r="H183" t="s">
        <v>441</v>
      </c>
      <c r="I183" t="s">
        <v>442</v>
      </c>
    </row>
    <row r="184" spans="1:9" x14ac:dyDescent="0.55000000000000004">
      <c r="A184">
        <v>187</v>
      </c>
      <c r="B184">
        <v>742</v>
      </c>
      <c r="C184" t="s">
        <v>8</v>
      </c>
      <c r="D184">
        <v>187</v>
      </c>
      <c r="E184" t="s">
        <v>443</v>
      </c>
      <c r="F184">
        <v>143</v>
      </c>
      <c r="G184">
        <v>655</v>
      </c>
      <c r="H184" t="s">
        <v>444</v>
      </c>
      <c r="I184" t="s">
        <v>445</v>
      </c>
    </row>
    <row r="185" spans="1:9" x14ac:dyDescent="0.55000000000000004">
      <c r="A185">
        <v>188</v>
      </c>
      <c r="B185">
        <v>742</v>
      </c>
      <c r="C185" t="s">
        <v>8</v>
      </c>
      <c r="D185">
        <v>188</v>
      </c>
      <c r="E185" t="s">
        <v>446</v>
      </c>
      <c r="F185">
        <v>104</v>
      </c>
      <c r="G185">
        <v>967</v>
      </c>
      <c r="H185" t="s">
        <v>447</v>
      </c>
      <c r="I185" t="s">
        <v>448</v>
      </c>
    </row>
    <row r="186" spans="1:9" x14ac:dyDescent="0.55000000000000004">
      <c r="A186">
        <v>189</v>
      </c>
      <c r="B186">
        <v>742</v>
      </c>
      <c r="C186" t="s">
        <v>8</v>
      </c>
      <c r="D186">
        <v>189</v>
      </c>
      <c r="E186" t="s">
        <v>449</v>
      </c>
      <c r="F186">
        <v>133</v>
      </c>
      <c r="G186">
        <v>285</v>
      </c>
      <c r="H186" t="s">
        <v>450</v>
      </c>
      <c r="I186" t="s">
        <v>451</v>
      </c>
    </row>
    <row r="187" spans="1:9" x14ac:dyDescent="0.55000000000000004">
      <c r="A187">
        <v>190</v>
      </c>
      <c r="B187">
        <v>742</v>
      </c>
      <c r="C187" t="s">
        <v>8</v>
      </c>
      <c r="D187">
        <v>190</v>
      </c>
      <c r="E187" t="s">
        <v>452</v>
      </c>
      <c r="F187">
        <v>243</v>
      </c>
      <c r="G187">
        <v>266</v>
      </c>
      <c r="H187" t="s">
        <v>453</v>
      </c>
      <c r="I187" t="s">
        <v>454</v>
      </c>
    </row>
    <row r="188" spans="1:9" x14ac:dyDescent="0.55000000000000004">
      <c r="A188">
        <v>191</v>
      </c>
      <c r="B188">
        <v>742</v>
      </c>
      <c r="C188" t="s">
        <v>8</v>
      </c>
      <c r="D188">
        <v>191</v>
      </c>
      <c r="E188" t="s">
        <v>455</v>
      </c>
      <c r="F188">
        <v>155</v>
      </c>
      <c r="G188">
        <v>645</v>
      </c>
      <c r="H188" t="s">
        <v>456</v>
      </c>
      <c r="I188" t="s">
        <v>457</v>
      </c>
    </row>
    <row r="189" spans="1:9" x14ac:dyDescent="0.55000000000000004">
      <c r="A189">
        <v>192</v>
      </c>
      <c r="B189">
        <v>742</v>
      </c>
      <c r="C189" t="s">
        <v>8</v>
      </c>
      <c r="D189">
        <v>192</v>
      </c>
      <c r="E189" t="s">
        <v>458</v>
      </c>
      <c r="F189">
        <v>330</v>
      </c>
      <c r="G189">
        <v>500</v>
      </c>
      <c r="H189" t="s">
        <v>459</v>
      </c>
      <c r="I189" t="s">
        <v>460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cleave_pattern_one_letter_aa_S0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miyazakilab</dc:creator>
  <cp:lastModifiedBy>佐々木　優汰</cp:lastModifiedBy>
  <dcterms:created xsi:type="dcterms:W3CDTF">2026-01-01T16:00:11Z</dcterms:created>
  <dcterms:modified xsi:type="dcterms:W3CDTF">2026-01-01T16:00:11Z</dcterms:modified>
</cp:coreProperties>
</file>